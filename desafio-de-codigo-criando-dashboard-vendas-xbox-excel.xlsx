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projetos\dashboards\desafio-de-projeto-criando-um-dashboard-de-vendas-doxbox-com-excel\"/>
    </mc:Choice>
  </mc:AlternateContent>
  <xr:revisionPtr revIDLastSave="0" documentId="13_ncr:1_{F66406E2-6B4B-415A-86C8-E544075C06EF}" xr6:coauthVersionLast="47" xr6:coauthVersionMax="47" xr10:uidLastSave="{00000000-0000-0000-0000-000000000000}"/>
  <bookViews>
    <workbookView xWindow="-110" yWindow="-110" windowWidth="19420" windowHeight="10300" tabRatio="0" firstSheet="3" activeTab="3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definedNames>
    <definedName name="SegmentaçãodeDados_Subscription_Type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3" l="1"/>
  <c r="B4" i="4" s="1"/>
  <c r="A4" i="4"/>
  <c r="D38" i="3"/>
  <c r="D17" i="3"/>
  <c r="D24" i="3"/>
  <c r="D3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E6E24C-F727-49D1-BFB9-7941EFEF7541}" keepAlive="1" name="Consulta - Consulta1" description="Conexão com a consulta 'Consulta1' na pasta de trabalh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<sst xmlns="http://schemas.openxmlformats.org/spreadsheetml/2006/main" count="2033" uniqueCount="334">
  <si>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</si>
  <si>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</si>
  <si>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</si>
  <si>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</si>
  <si>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</si>
  <si>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</si>
  <si>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</si>
  <si>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</si>
  <si>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</si>
  <si>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</si>
  <si>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</si>
  <si>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</si>
  <si>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</si>
  <si>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</si>
  <si>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</si>
  <si>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</si>
  <si>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</si>
  <si>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</si>
  <si>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</si>
  <si>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</si>
  <si>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</si>
  <si>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</si>
  <si>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</si>
  <si>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</si>
  <si>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</si>
  <si>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</si>
  <si>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</si>
  <si>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</si>
  <si>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</si>
  <si>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</si>
  <si>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</si>
  <si>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</si>
  <si>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</si>
  <si>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</si>
  <si>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</si>
  <si>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</si>
  <si>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</si>
  <si>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</si>
  <si>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</si>
  <si>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</si>
  <si>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</si>
  <si>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</si>
  <si>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</si>
  <si>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</si>
  <si>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</si>
  <si>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</si>
  <si>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</si>
  <si>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</si>
  <si>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</si>
  <si>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</si>
  <si>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</si>
  <si>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</si>
  <si>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</si>
  <si>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</si>
  <si>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</si>
  <si>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</si>
  <si>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</si>
  <si>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</si>
  <si>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</si>
  <si>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</si>
  <si>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</si>
  <si>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</si>
  <si>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</si>
  <si>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</si>
  <si>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</si>
  <si>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</si>
  <si>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</si>
  <si>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</si>
  <si>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</si>
  <si>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</si>
  <si>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</si>
  <si>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</si>
  <si>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</si>
  <si>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</si>
  <si>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</si>
  <si>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</si>
  <si>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</si>
  <si>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</si>
  <si>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</si>
  <si>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</si>
  <si>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</si>
  <si>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</si>
  <si>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</si>
  <si>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</si>
  <si>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</si>
  <si>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</si>
  <si>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</si>
  <si>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</si>
  <si>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</si>
  <si>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</si>
  <si>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</si>
  <si>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</si>
  <si>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</si>
  <si>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</si>
  <si>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</si>
  <si>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</si>
  <si>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</si>
  <si>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</si>
  <si>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</si>
  <si>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</si>
  <si>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</si>
  <si>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</si>
  <si>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</si>
  <si>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</si>
  <si>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</si>
  <si>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</si>
  <si>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</si>
  <si>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</si>
  <si>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</si>
  <si>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</si>
  <si>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</si>
  <si>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</si>
  <si>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</si>
  <si>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</si>
  <si>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</si>
  <si>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</si>
  <si>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</si>
  <si>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</si>
  <si>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</si>
  <si>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</si>
  <si>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</si>
  <si>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</si>
  <si>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</si>
  <si>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</si>
  <si>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</si>
  <si>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</si>
  <si>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</si>
  <si>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</si>
  <si>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</si>
  <si>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</si>
  <si>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</si>
  <si>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</si>
  <si>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</si>
  <si>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</si>
  <si>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</si>
  <si>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</si>
  <si>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</si>
  <si>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</si>
  <si>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</si>
  <si>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</si>
  <si>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</si>
  <si>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</si>
  <si>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</si>
  <si>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</si>
  <si>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</si>
  <si>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</si>
  <si>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</si>
  <si>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</si>
  <si>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</si>
  <si>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</si>
  <si>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</si>
  <si>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</si>
  <si>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</si>
  <si>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</si>
  <si>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</si>
  <si>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</si>
  <si>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</si>
  <si>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</si>
  <si>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</si>
  <si>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</si>
  <si>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</si>
  <si>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</si>
  <si>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</si>
  <si>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</si>
  <si>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</si>
  <si>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</si>
  <si>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</si>
  <si>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</si>
  <si>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</si>
  <si>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</si>
  <si>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</si>
  <si>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</si>
  <si>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</si>
  <si>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</si>
  <si>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</si>
  <si>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</si>
  <si>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</si>
  <si>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</si>
  <si>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</si>
  <si>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</si>
  <si>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</si>
  <si>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</si>
  <si>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</si>
  <si>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</si>
  <si>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</si>
  <si>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</si>
  <si>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</si>
  <si>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</si>
  <si>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</si>
  <si>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</si>
  <si>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</si>
  <si>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</si>
  <si>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</si>
  <si>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</si>
  <si>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</si>
  <si>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</si>
  <si>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</si>
  <si>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</si>
  <si>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</si>
  <si>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</si>
  <si>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</si>
  <si>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</si>
  <si>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</si>
  <si>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</si>
  <si>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</si>
  <si>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</si>
  <si>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</si>
  <si>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</si>
  <si>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</si>
  <si>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</si>
  <si>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</si>
  <si>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</si>
  <si>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</si>
  <si>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</si>
  <si>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</si>
  <si>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</si>
  <si>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</si>
  <si>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</si>
  <si>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</si>
  <si>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</si>
  <si>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</si>
  <si>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</si>
  <si>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</si>
  <si>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</si>
  <si>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</si>
  <si>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</si>
  <si>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</si>
  <si>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</si>
  <si>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</si>
  <si>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</si>
  <si>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</si>
  <si>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</si>
  <si>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</si>
  <si>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</si>
  <si>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</si>
  <si>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</si>
  <si>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</si>
  <si>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</si>
  <si>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</si>
  <si>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</si>
  <si>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</si>
  <si>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</si>
  <si>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</si>
  <si>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</si>
  <si>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</si>
  <si>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</si>
  <si>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</si>
  <si>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</si>
  <si>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</si>
  <si>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</si>
  <si>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</si>
  <si>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</si>
  <si>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</si>
  <si>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</si>
  <si>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</si>
  <si>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</si>
  <si>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</si>
  <si>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</si>
  <si>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</si>
  <si>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</si>
  <si>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</si>
  <si>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</si>
  <si>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</si>
  <si>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</si>
  <si>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</si>
  <si>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</si>
  <si>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</si>
  <si>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</si>
  <si>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</si>
  <si>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</si>
  <si>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</si>
  <si>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</si>
  <si>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</si>
  <si>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</si>
  <si>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</si>
  <si>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</si>
  <si>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</si>
  <si>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</si>
  <si>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</si>
  <si>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</si>
  <si>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</si>
  <si>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</si>
  <si>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</si>
  <si>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</si>
  <si>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</si>
  <si>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</si>
  <si>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</si>
  <si>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</si>
  <si>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</si>
  <si>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</si>
  <si>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</si>
  <si>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</si>
  <si>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</si>
  <si>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</si>
  <si>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</si>
  <si>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</si>
  <si>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</si>
  <si>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</si>
  <si>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</si>
  <si>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</si>
  <si>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</si>
  <si>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</si>
  <si>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</si>
  <si>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</si>
  <si>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</si>
  <si>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</si>
  <si>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</si>
  <si>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</si>
  <si>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</si>
  <si>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</si>
  <si>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</si>
  <si>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</si>
  <si>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</si>
  <si>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r>
      <t xml:space="preserve">Pergunta d Negócio 1:  Qual o faturamento </t>
    </r>
    <r>
      <rPr>
        <b/>
        <sz val="11"/>
        <color theme="1"/>
        <rFont val="Aptos Narrow"/>
        <family val="2"/>
        <scheme val="minor"/>
      </rPr>
      <t>total de venda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 (contendo </t>
    </r>
    <r>
      <rPr>
        <b/>
        <sz val="11"/>
        <color theme="1"/>
        <rFont val="Aptos Narrow"/>
        <family val="2"/>
        <scheme val="minor"/>
      </rPr>
      <t>todas as assinaturas agregadas</t>
    </r>
    <r>
      <rPr>
        <sz val="11"/>
        <color theme="1"/>
        <rFont val="Aptos Narrow"/>
        <family val="2"/>
        <scheme val="minor"/>
      </rPr>
      <t>)</t>
    </r>
  </si>
  <si>
    <t>Calculos = Informação = Respostas das perguntas de negócios</t>
  </si>
  <si>
    <t>Rótulos de Linha</t>
  </si>
  <si>
    <t>Total Geral</t>
  </si>
  <si>
    <t>Soma de Total Value</t>
  </si>
  <si>
    <r>
      <t xml:space="preserve">Pergunta d Negócio 2:  Qual o faturamento </t>
    </r>
    <r>
      <rPr>
        <b/>
        <sz val="11"/>
        <color theme="1"/>
        <rFont val="Aptos Narrow"/>
        <family val="2"/>
        <scheme val="minor"/>
      </rPr>
      <t>total de venda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, separado por </t>
    </r>
    <r>
      <rPr>
        <b/>
        <sz val="11"/>
        <color theme="1"/>
        <rFont val="Aptos Narrow"/>
        <family val="2"/>
        <scheme val="minor"/>
      </rPr>
      <t>auto renovação (sim/não)</t>
    </r>
  </si>
  <si>
    <r>
      <rPr>
        <b/>
        <sz val="11"/>
        <color theme="1"/>
        <rFont val="Aptos Narrow"/>
        <family val="2"/>
        <scheme val="minor"/>
      </rPr>
      <t>Informação</t>
    </r>
    <r>
      <rPr>
        <sz val="11"/>
        <color theme="1"/>
        <rFont val="Aptos Narrow"/>
        <family val="2"/>
        <scheme val="minor"/>
      </rPr>
      <t xml:space="preserve"> vs.</t>
    </r>
    <r>
      <rPr>
        <b/>
        <sz val="11"/>
        <color theme="1"/>
        <rFont val="Aptos Narrow"/>
        <family val="2"/>
        <scheme val="minor"/>
      </rPr>
      <t xml:space="preserve"> Dados</t>
    </r>
    <r>
      <rPr>
        <sz val="11"/>
        <color theme="1"/>
        <rFont val="Aptos Narrow"/>
        <family val="2"/>
        <scheme val="minor"/>
      </rPr>
      <t>, informação é  a resposta de uma pergunta de negócio respondida através da análise dos dados</t>
    </r>
  </si>
  <si>
    <t>XBOX GAME PASS SUBSCRIPTIONS SALES</t>
  </si>
  <si>
    <r>
      <t xml:space="preserve">Pergunta d Negócio 3:  Qual o faturamento </t>
    </r>
    <r>
      <rPr>
        <b/>
        <sz val="11"/>
        <color theme="1"/>
        <rFont val="Aptos Narrow"/>
        <family val="2"/>
        <scheme val="minor"/>
      </rPr>
      <t>total de venda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 (das</t>
    </r>
    <r>
      <rPr>
        <b/>
        <sz val="11"/>
        <color theme="1"/>
        <rFont val="Aptos Narrow"/>
        <family val="2"/>
        <scheme val="minor"/>
      </rPr>
      <t xml:space="preserve"> assinaturas 'EA Play Season Pass'</t>
    </r>
    <r>
      <rPr>
        <sz val="11"/>
        <color theme="1"/>
        <rFont val="Aptos Narrow"/>
        <family val="2"/>
        <scheme val="minor"/>
      </rPr>
      <t>)</t>
    </r>
  </si>
  <si>
    <t>Soma de EA Play Season Pass</t>
  </si>
  <si>
    <r>
      <t xml:space="preserve">Pergunta d Negócio 4:  Qual o faturamento </t>
    </r>
    <r>
      <rPr>
        <b/>
        <sz val="11"/>
        <color theme="1"/>
        <rFont val="Aptos Narrow"/>
        <family val="2"/>
        <scheme val="minor"/>
      </rPr>
      <t>total de venda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 (das</t>
    </r>
    <r>
      <rPr>
        <b/>
        <sz val="11"/>
        <color theme="1"/>
        <rFont val="Aptos Narrow"/>
        <family val="2"/>
        <scheme val="minor"/>
      </rPr>
      <t xml:space="preserve"> assinaturas 'Minecraft Season Pass'</t>
    </r>
    <r>
      <rPr>
        <sz val="11"/>
        <color theme="1"/>
        <rFont val="Aptos Narrow"/>
        <family val="2"/>
        <scheme val="minor"/>
      </rPr>
      <t>)</t>
    </r>
  </si>
  <si>
    <t>Soma de Minecraft Season Pass Price</t>
  </si>
  <si>
    <t>Soma de Subscription Price</t>
  </si>
  <si>
    <r>
      <t xml:space="preserve">Pergunta d Negócio 5:  Qual o faturamento </t>
    </r>
    <r>
      <rPr>
        <b/>
        <sz val="11"/>
        <color theme="1"/>
        <rFont val="Aptos Narrow"/>
        <family val="2"/>
        <scheme val="minor"/>
      </rPr>
      <t>total de venda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 (das</t>
    </r>
    <r>
      <rPr>
        <b/>
        <sz val="11"/>
        <color theme="1"/>
        <rFont val="Aptos Narrow"/>
        <family val="2"/>
        <scheme val="minor"/>
      </rPr>
      <t xml:space="preserve"> assinaturas XBOX Season Pass'</t>
    </r>
    <r>
      <rPr>
        <sz val="11"/>
        <color theme="1"/>
        <rFont val="Aptos Narrow"/>
        <family val="2"/>
        <scheme val="minor"/>
      </rPr>
      <t>)</t>
    </r>
  </si>
  <si>
    <r>
      <t xml:space="preserve">Pergunta d Negócio 6:  Qual o faturamento </t>
    </r>
    <r>
      <rPr>
        <b/>
        <sz val="11"/>
        <color theme="1"/>
        <rFont val="Aptos Narrow"/>
        <family val="2"/>
        <scheme val="minor"/>
      </rPr>
      <t>total de venda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 (de</t>
    </r>
    <r>
      <rPr>
        <b/>
        <sz val="11"/>
        <color theme="1"/>
        <rFont val="Aptos Narrow"/>
        <family val="2"/>
        <scheme val="minor"/>
      </rPr>
      <t xml:space="preserve"> todas as assinaturas</t>
    </r>
    <r>
      <rPr>
        <sz val="11"/>
        <color theme="1"/>
        <rFont val="Aptos Narrow"/>
        <family val="2"/>
        <scheme val="minor"/>
      </rPr>
      <t>)</t>
    </r>
  </si>
  <si>
    <t>Pergunta de negócio 7: Quem é o usuário conectado?</t>
  </si>
  <si>
    <t>Usuário</t>
  </si>
  <si>
    <t>Maria Helena</t>
  </si>
  <si>
    <t xml:space="preserve">Período de apuração: </t>
  </si>
  <si>
    <t>Elisa Magalhães Ferreira</t>
  </si>
  <si>
    <t xml:space="preserve">Última atualização dos dados: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</si>
</sst>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&quot;R$&quot;\ #,##0.00"/>
  </numFmts>
  <fonts count="11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b/>
      <sz val="15"/>
      <color theme="3"/>
      <name val="Segoe UI"/>
      <family val="2"/>
    </font>
    <font>
      <b/>
      <u/>
      <sz val="11"/>
      <color theme="0"/>
      <name val="Segoe UI"/>
      <family val="2"/>
    </font>
    <font>
      <b/>
      <sz val="11"/>
      <color theme="0"/>
      <name val="Segoe UI"/>
      <family val="2"/>
    </font>
    <font>
      <b/>
      <sz val="11"/>
      <color theme="0" tint="-0.499984740745262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30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4" fillId="0" borderId="0" xfId="0" applyFont="1"/>
    <xf numFmtId="0" fontId="3" fillId="0" borderId="0" xfId="0" applyFont="1"/>
    <xf numFmtId="0" fontId="5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44" fontId="6" fillId="0" borderId="0" xfId="0" applyNumberFormat="1" applyFont="1"/>
    <xf numFmtId="0" fontId="4" fillId="5" borderId="0" xfId="0" applyFont="1" applyFill="1"/>
    <xf numFmtId="0" fontId="4" fillId="7" borderId="0" xfId="0" applyFont="1" applyFill="1"/>
    <xf numFmtId="0" fontId="7" fillId="0" borderId="2" xfId="1" applyFont="1" applyBorder="1"/>
    <xf numFmtId="0" fontId="1" fillId="0" borderId="2" xfId="1" applyBorder="1"/>
    <xf numFmtId="164" fontId="0" fillId="0" borderId="0" xfId="0" applyNumberFormat="1"/>
    <xf numFmtId="0" fontId="8" fillId="5" borderId="0" xfId="0" applyFont="1" applyFill="1"/>
    <xf numFmtId="0" fontId="9" fillId="5" borderId="0" xfId="0" applyFont="1" applyFill="1"/>
    <xf numFmtId="0" fontId="0" fillId="8" borderId="0" xfId="0" applyFill="1" applyAlignment="1">
      <alignment horizontal="right" vertical="center" wrapText="1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10" fillId="7" borderId="0" xfId="0" applyFont="1" applyFill="1" applyAlignment="1">
      <alignment horizontal="left" indent="2"/>
    </xf>
  </cellXfs>
  <cellStyles count="3">
    <cellStyle name="Moeda" xfId="2" builtinId="4"/>
    <cellStyle name="Normal" xfId="0" builtinId="0"/>
    <cellStyle name="Título 1" xfId="1" builtinId="16"/>
  </cellStyles>
  <dxfs count="22">
    <dxf>
      <numFmt numFmtId="164" formatCode="&quot;R$&quot;\ #,##0.00"/>
    </dxf>
    <dxf>
      <font>
        <u val="singleAccounting"/>
      </font>
    </dxf>
    <dxf>
      <numFmt numFmtId="164" formatCode="&quot;R$&quot;\ #,##0.00"/>
    </dxf>
    <dxf>
      <font>
        <u val="singleAccounting"/>
      </font>
    </dxf>
    <dxf>
      <numFmt numFmtId="164" formatCode="&quot;R$&quot;\ #,##0.00"/>
    </dxf>
    <dxf>
      <font>
        <u val="singleAccounting"/>
      </font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sz val="10"/>
        <color theme="0"/>
        <name val="Segoe UI"/>
        <family val="2"/>
        <scheme val="none"/>
      </font>
      <fill>
        <patternFill>
          <fgColor rgb="FF2AE6B1"/>
        </patternFill>
      </fill>
      <border>
        <bottom style="thin">
          <color theme="4"/>
        </bottom>
        <vertical/>
        <horizontal/>
      </border>
    </dxf>
    <dxf>
      <font>
        <color theme="1"/>
      </font>
      <fill>
        <patternFill patternType="solid">
          <bgColor rgb="FF2AE6B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1 - peronalizada xbox" pivot="0" table="0" count="10" xr9:uid="{A14C3AB2-0417-46A8-A73E-6BC90553E2F1}">
      <tableStyleElement type="wholeTable" dxfId="21"/>
      <tableStyleElement type="headerRow" dxfId="20"/>
    </tableStyle>
  </tableStyles>
  <colors>
    <mruColors>
      <color rgb="FF2AE6B1"/>
      <color rgb="FF5BF6A8"/>
      <color rgb="FF22C55E"/>
      <color rgb="FFE8E6E9"/>
      <color rgb="FF000000"/>
      <color rgb="FFE0E0E0"/>
      <color rgb="FFEDEDED"/>
      <color rgb="FFF7F8FC"/>
      <color rgb="FF9BC848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E8E6E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E8E6E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E8E6E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E8E6E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8168889431442"/>
              <bgColor theme="4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4" tint="0.59999389629810485"/>
              <bgColor rgb="FF2AE6B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1 - peronalizada xbox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[desafio-de-codigo-criando-dashboard-vendas-xbox-excel.xlsx]C̳álculos!tbl_total-vendas_planos-anuais</c:name>
    <c:fmtId val="3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AE6B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1525590551181096E-2"/>
          <c:y val="3.0365995917177018E-2"/>
          <c:w val="0.88791885389326319"/>
          <c:h val="0.918708078156897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AE6B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C̳álculos!$B$11:$B$13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C̳álculos!$C$11:$C$13</c:f>
              <c:numCache>
                <c:formatCode>_("R$"* #,##0.00_);_("R$"* \(#,##0.00\);_("R$"* "-"??_);_(@_)</c:formatCode>
                <c:ptCount val="2"/>
                <c:pt idx="0">
                  <c:v>806</c:v>
                </c:pt>
                <c:pt idx="1">
                  <c:v>1502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35-4C8C-BCEA-BE9E6AE82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8056000"/>
        <c:axId val="8056480"/>
      </c:barChart>
      <c:catAx>
        <c:axId val="8056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056480"/>
        <c:crosses val="autoZero"/>
        <c:auto val="1"/>
        <c:lblAlgn val="ctr"/>
        <c:lblOffset val="100"/>
        <c:noMultiLvlLbl val="0"/>
      </c:catAx>
      <c:valAx>
        <c:axId val="8056480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05600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softEdge rad="0"/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chart" Target="../charts/chart1.xml"/><Relationship Id="rId7" Type="http://schemas.openxmlformats.org/officeDocument/2006/relationships/image" Target="../media/image1.png"/><Relationship Id="rId2" Type="http://schemas.openxmlformats.org/officeDocument/2006/relationships/image" Target="../media/image7.png"/><Relationship Id="rId1" Type="http://schemas.openxmlformats.org/officeDocument/2006/relationships/image" Target="../media/image2.png"/><Relationship Id="rId6" Type="http://schemas.openxmlformats.org/officeDocument/2006/relationships/image" Target="../media/image10.sv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10</xdr:row>
      <xdr:rowOff>138302</xdr:rowOff>
    </xdr:from>
    <xdr:to>
      <xdr:col>3</xdr:col>
      <xdr:colOff>500471</xdr:colOff>
      <xdr:row>13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494152"/>
          <a:ext cx="1500597" cy="439548"/>
        </a:xfrm>
        <a:prstGeom prst="rect">
          <a:avLst/>
        </a:prstGeom>
      </xdr:spPr>
    </xdr:pic>
    <xdr:clientData/>
  </xdr:twoCellAnchor>
  <xdr:twoCellAnchor editAs="oneCell">
    <xdr:from>
      <xdr:col>0</xdr:col>
      <xdr:colOff>536575</xdr:colOff>
      <xdr:row>12</xdr:row>
      <xdr:rowOff>60325</xdr:rowOff>
    </xdr:from>
    <xdr:to>
      <xdr:col>5</xdr:col>
      <xdr:colOff>374650</xdr:colOff>
      <xdr:row>17</xdr:row>
      <xdr:rowOff>130048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6575" y="2790825"/>
          <a:ext cx="2886075" cy="99047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11</xdr:row>
      <xdr:rowOff>19050</xdr:rowOff>
    </xdr:from>
    <xdr:to>
      <xdr:col>12</xdr:col>
      <xdr:colOff>209550</xdr:colOff>
      <xdr:row>12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10</xdr:row>
      <xdr:rowOff>133350</xdr:rowOff>
    </xdr:from>
    <xdr:to>
      <xdr:col>10</xdr:col>
      <xdr:colOff>161925</xdr:colOff>
      <xdr:row>14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10</xdr:row>
      <xdr:rowOff>142875</xdr:rowOff>
    </xdr:from>
    <xdr:to>
      <xdr:col>11</xdr:col>
      <xdr:colOff>371475</xdr:colOff>
      <xdr:row>14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254000</xdr:colOff>
      <xdr:row>18</xdr:row>
      <xdr:rowOff>69850</xdr:rowOff>
    </xdr:from>
    <xdr:to>
      <xdr:col>3</xdr:col>
      <xdr:colOff>254000</xdr:colOff>
      <xdr:row>24</xdr:row>
      <xdr:rowOff>139700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" y="3536950"/>
          <a:ext cx="1219200" cy="1174750"/>
        </a:xfrm>
        <a:prstGeom prst="rect">
          <a:avLst/>
        </a:prstGeom>
      </xdr:spPr>
    </xdr:pic>
    <xdr:clientData/>
  </xdr:twoCellAnchor>
  <xdr:twoCellAnchor editAs="absolute">
    <xdr:from>
      <xdr:col>3</xdr:col>
      <xdr:colOff>523875</xdr:colOff>
      <xdr:row>19</xdr:row>
      <xdr:rowOff>95249</xdr:rowOff>
    </xdr:from>
    <xdr:to>
      <xdr:col>6</xdr:col>
      <xdr:colOff>244551</xdr:colOff>
      <xdr:row>23</xdr:row>
      <xdr:rowOff>85725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2352675" y="3746499"/>
          <a:ext cx="1549476" cy="7270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11</xdr:row>
      <xdr:rowOff>0</xdr:rowOff>
    </xdr:from>
    <xdr:to>
      <xdr:col>11</xdr:col>
      <xdr:colOff>304800</xdr:colOff>
      <xdr:row>12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11</xdr:row>
      <xdr:rowOff>0</xdr:rowOff>
    </xdr:from>
    <xdr:to>
      <xdr:col>13</xdr:col>
      <xdr:colOff>304800</xdr:colOff>
      <xdr:row>12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127001</xdr:colOff>
      <xdr:row>0</xdr:row>
      <xdr:rowOff>95250</xdr:rowOff>
    </xdr:from>
    <xdr:to>
      <xdr:col>1</xdr:col>
      <xdr:colOff>746126</xdr:colOff>
      <xdr:row>2</xdr:row>
      <xdr:rowOff>166687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A608579-4CBE-4900-9332-7E31C5DFA73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76" t="19233" r="71672" b="22266"/>
        <a:stretch>
          <a:fillRect/>
        </a:stretch>
      </xdr:blipFill>
      <xdr:spPr>
        <a:xfrm>
          <a:off x="1952626" y="95250"/>
          <a:ext cx="619125" cy="5794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82551</xdr:rowOff>
    </xdr:from>
    <xdr:to>
      <xdr:col>0</xdr:col>
      <xdr:colOff>1790700</xdr:colOff>
      <xdr:row>12</xdr:row>
      <xdr:rowOff>31751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ubscription Type">
              <a:extLst>
                <a:ext uri="{FF2B5EF4-FFF2-40B4-BE49-F238E27FC236}">
                  <a16:creationId xmlns:a16="http://schemas.microsoft.com/office/drawing/2014/main" id="{E743E89C-B45A-48AA-AE60-2BF4149859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249364"/>
              <a:ext cx="1790700" cy="12271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 fLocksWithSheet="0"/>
  </xdr:twoCellAnchor>
  <xdr:twoCellAnchor editAs="absolute">
    <xdr:from>
      <xdr:col>9</xdr:col>
      <xdr:colOff>508000</xdr:colOff>
      <xdr:row>4</xdr:row>
      <xdr:rowOff>31748</xdr:rowOff>
    </xdr:from>
    <xdr:to>
      <xdr:col>15</xdr:col>
      <xdr:colOff>396876</xdr:colOff>
      <xdr:row>11</xdr:row>
      <xdr:rowOff>142879</xdr:rowOff>
    </xdr:to>
    <xdr:grpSp>
      <xdr:nvGrpSpPr>
        <xdr:cNvPr id="23" name="Agrupar 22">
          <a:extLst>
            <a:ext uri="{FF2B5EF4-FFF2-40B4-BE49-F238E27FC236}">
              <a16:creationId xmlns:a16="http://schemas.microsoft.com/office/drawing/2014/main" id="{BC999FFF-9027-E27C-358D-B6C91EC3E50C}"/>
            </a:ext>
          </a:extLst>
        </xdr:cNvPr>
        <xdr:cNvGrpSpPr/>
      </xdr:nvGrpSpPr>
      <xdr:grpSpPr>
        <a:xfrm>
          <a:off x="7056438" y="992186"/>
          <a:ext cx="3405188" cy="1412881"/>
          <a:chOff x="7175501" y="936617"/>
          <a:chExt cx="3405188" cy="1412881"/>
        </a:xfrm>
      </xdr:grpSpPr>
      <xdr:sp macro="" textlink="">
        <xdr:nvSpPr>
          <xdr:cNvPr id="11" name="Retângulo: Cantos Arredondados 10">
            <a:extLst>
              <a:ext uri="{FF2B5EF4-FFF2-40B4-BE49-F238E27FC236}">
                <a16:creationId xmlns:a16="http://schemas.microsoft.com/office/drawing/2014/main" id="{CB81FEC7-778F-A376-510D-84A8C31088EE}"/>
              </a:ext>
            </a:extLst>
          </xdr:cNvPr>
          <xdr:cNvSpPr/>
        </xdr:nvSpPr>
        <xdr:spPr>
          <a:xfrm>
            <a:off x="7175501" y="936626"/>
            <a:ext cx="3405188" cy="1285874"/>
          </a:xfrm>
          <a:prstGeom prst="roundRect">
            <a:avLst>
              <a:gd name="adj" fmla="val 10417"/>
            </a:avLst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C̳álculos!D17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B85AD1BA-62A2-488D-9BE4-6EAA9F9DC6FD}"/>
              </a:ext>
            </a:extLst>
          </xdr:cNvPr>
          <xdr:cNvSpPr/>
        </xdr:nvSpPr>
        <xdr:spPr>
          <a:xfrm>
            <a:off x="8556623" y="1421117"/>
            <a:ext cx="2007629" cy="682013"/>
          </a:xfrm>
          <a:prstGeom prst="roundRect">
            <a:avLst>
              <a:gd name="adj" fmla="val 10417"/>
            </a:avLst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fld id="{FD6EDE1D-F69F-4052-8D1E-7B4CC561EC4B}" type="TxLink">
              <a:rPr lang="en-US" sz="2400" b="1" i="0" u="none" strike="noStrike">
                <a:solidFill>
                  <a:srgbClr val="2AE6B1"/>
                </a:solidFill>
                <a:latin typeface="Aptos Narrow"/>
              </a:rPr>
              <a:pPr algn="r"/>
              <a:t>R$ 990,00</a:t>
            </a:fld>
            <a:endParaRPr lang="pt-BR" sz="4800" b="1" u="none">
              <a:solidFill>
                <a:srgbClr val="2AE6B1"/>
              </a:solidFill>
            </a:endParaRPr>
          </a:p>
        </xdr:txBody>
      </xdr:sp>
      <xdr:pic>
        <xdr:nvPicPr>
          <xdr:cNvPr id="15" name="Imagem 14">
            <a:extLst>
              <a:ext uri="{FF2B5EF4-FFF2-40B4-BE49-F238E27FC236}">
                <a16:creationId xmlns:a16="http://schemas.microsoft.com/office/drawing/2014/main" id="{931A1849-998B-4E2D-92D2-3245DC193CE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7302503" y="1174748"/>
            <a:ext cx="1219200" cy="1174750"/>
          </a:xfrm>
          <a:prstGeom prst="rect">
            <a:avLst/>
          </a:prstGeom>
        </xdr:spPr>
      </xdr:pic>
      <xdr:sp macro="" textlink="">
        <xdr:nvSpPr>
          <xdr:cNvPr id="20" name="Retângulo: Cantos Superiores Arredondados 19">
            <a:extLst>
              <a:ext uri="{FF2B5EF4-FFF2-40B4-BE49-F238E27FC236}">
                <a16:creationId xmlns:a16="http://schemas.microsoft.com/office/drawing/2014/main" id="{A1907F8A-74A7-65A3-86E2-A61AFFD8282C}"/>
              </a:ext>
            </a:extLst>
          </xdr:cNvPr>
          <xdr:cNvSpPr/>
        </xdr:nvSpPr>
        <xdr:spPr>
          <a:xfrm>
            <a:off x="7175501" y="936617"/>
            <a:ext cx="3405188" cy="396875"/>
          </a:xfrm>
          <a:prstGeom prst="round2SameRect">
            <a:avLst>
              <a:gd name="adj1" fmla="val 36667"/>
              <a:gd name="adj2" fmla="val 2000"/>
            </a:avLst>
          </a:prstGeom>
          <a:solidFill>
            <a:srgbClr val="2AE6B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 anchorCtr="0"/>
          <a:lstStyle/>
          <a:p>
            <a:pPr algn="ctr"/>
            <a:r>
              <a:rPr lang="pt-BR" sz="1100" b="1">
                <a:latin typeface="Segoe UI" panose="020B0502040204020203" pitchFamily="34" charset="0"/>
                <a:cs typeface="Segoe UI" panose="020B0502040204020203" pitchFamily="34" charset="0"/>
              </a:rPr>
              <a:t>TOTAL SUBSCRIPTIONS EA PLAY SEASON PASS</a:t>
            </a:r>
          </a:p>
        </xdr:txBody>
      </xdr:sp>
    </xdr:grpSp>
    <xdr:clientData/>
  </xdr:twoCellAnchor>
  <xdr:twoCellAnchor editAs="absolute">
    <xdr:from>
      <xdr:col>1</xdr:col>
      <xdr:colOff>158749</xdr:colOff>
      <xdr:row>4</xdr:row>
      <xdr:rowOff>39691</xdr:rowOff>
    </xdr:from>
    <xdr:to>
      <xdr:col>9</xdr:col>
      <xdr:colOff>365124</xdr:colOff>
      <xdr:row>19</xdr:row>
      <xdr:rowOff>23818</xdr:rowOff>
    </xdr:to>
    <xdr:grpSp>
      <xdr:nvGrpSpPr>
        <xdr:cNvPr id="43" name="Agrupar 42">
          <a:extLst>
            <a:ext uri="{FF2B5EF4-FFF2-40B4-BE49-F238E27FC236}">
              <a16:creationId xmlns:a16="http://schemas.microsoft.com/office/drawing/2014/main" id="{BD6D79DB-CE50-C5F3-33AA-E5AFA22E67CF}"/>
            </a:ext>
          </a:extLst>
        </xdr:cNvPr>
        <xdr:cNvGrpSpPr/>
      </xdr:nvGrpSpPr>
      <xdr:grpSpPr>
        <a:xfrm>
          <a:off x="1984374" y="1000129"/>
          <a:ext cx="4929188" cy="2746377"/>
          <a:chOff x="2000250" y="904879"/>
          <a:chExt cx="4929188" cy="2746377"/>
        </a:xfrm>
      </xdr:grpSpPr>
      <xdr:grpSp>
        <xdr:nvGrpSpPr>
          <xdr:cNvPr id="6" name="Agrupar 5">
            <a:extLst>
              <a:ext uri="{FF2B5EF4-FFF2-40B4-BE49-F238E27FC236}">
                <a16:creationId xmlns:a16="http://schemas.microsoft.com/office/drawing/2014/main" id="{0CB76C94-6135-A631-21C9-3595A9EA21A5}"/>
              </a:ext>
            </a:extLst>
          </xdr:cNvPr>
          <xdr:cNvGrpSpPr/>
        </xdr:nvGrpSpPr>
        <xdr:grpSpPr>
          <a:xfrm>
            <a:off x="2000250" y="904879"/>
            <a:ext cx="4921250" cy="2746377"/>
            <a:chOff x="2174875" y="896936"/>
            <a:chExt cx="4921250" cy="3175001"/>
          </a:xfrm>
        </xdr:grpSpPr>
        <xdr:sp macro="" textlink="">
          <xdr:nvSpPr>
            <xdr:cNvPr id="5" name="Retângulo: Cantos Arredondados 4">
              <a:extLst>
                <a:ext uri="{FF2B5EF4-FFF2-40B4-BE49-F238E27FC236}">
                  <a16:creationId xmlns:a16="http://schemas.microsoft.com/office/drawing/2014/main" id="{70B3C690-0427-54C0-899A-8D3EA85CBD7B}"/>
                </a:ext>
              </a:extLst>
            </xdr:cNvPr>
            <xdr:cNvSpPr/>
          </xdr:nvSpPr>
          <xdr:spPr>
            <a:xfrm>
              <a:off x="2174875" y="896936"/>
              <a:ext cx="4921250" cy="3175001"/>
            </a:xfrm>
            <a:prstGeom prst="roundRect">
              <a:avLst>
                <a:gd name="adj" fmla="val 10417"/>
              </a:avLst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BA975CE3-D428-4999-A319-74E478FEE067}"/>
                </a:ext>
              </a:extLst>
            </xdr:cNvPr>
            <xdr:cNvGraphicFramePr>
              <a:graphicFrameLocks/>
            </xdr:cNvGraphicFramePr>
          </xdr:nvGraphicFramePr>
          <xdr:xfrm>
            <a:off x="2368550" y="1346570"/>
            <a:ext cx="4679950" cy="262294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  <xdr:sp macro="" textlink="">
        <xdr:nvSpPr>
          <xdr:cNvPr id="21" name="Retângulo: Cantos Superiores Arredondados 20">
            <a:extLst>
              <a:ext uri="{FF2B5EF4-FFF2-40B4-BE49-F238E27FC236}">
                <a16:creationId xmlns:a16="http://schemas.microsoft.com/office/drawing/2014/main" id="{A6D6151D-ECE3-44AC-A115-BE28F967DC59}"/>
              </a:ext>
            </a:extLst>
          </xdr:cNvPr>
          <xdr:cNvSpPr/>
        </xdr:nvSpPr>
        <xdr:spPr>
          <a:xfrm>
            <a:off x="2001836" y="909516"/>
            <a:ext cx="4927602" cy="331603"/>
          </a:xfrm>
          <a:prstGeom prst="round2SameRect">
            <a:avLst>
              <a:gd name="adj1" fmla="val 50000"/>
              <a:gd name="adj2" fmla="val 2000"/>
            </a:avLst>
          </a:prstGeom>
          <a:solidFill>
            <a:srgbClr val="2AE6B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 anchorCtr="0"/>
          <a:lstStyle/>
          <a:p>
            <a:pPr algn="ctr"/>
            <a:r>
              <a:rPr lang="pt-BR" sz="1100" b="1">
                <a:latin typeface="Segoe UI" panose="020B0502040204020203" pitchFamily="34" charset="0"/>
                <a:cs typeface="Segoe UI" panose="020B0502040204020203" pitchFamily="34" charset="0"/>
              </a:rPr>
              <a:t>TOTAL SUBSCRIPTIONS XBOX GAME PASS + SEASONS FOR AUTO RENEWAL</a:t>
            </a:r>
          </a:p>
        </xdr:txBody>
      </xdr:sp>
    </xdr:grpSp>
    <xdr:clientData/>
  </xdr:twoCellAnchor>
  <xdr:twoCellAnchor editAs="absolute">
    <xdr:from>
      <xdr:col>15</xdr:col>
      <xdr:colOff>555624</xdr:colOff>
      <xdr:row>4</xdr:row>
      <xdr:rowOff>31748</xdr:rowOff>
    </xdr:from>
    <xdr:to>
      <xdr:col>21</xdr:col>
      <xdr:colOff>293687</xdr:colOff>
      <xdr:row>11</xdr:row>
      <xdr:rowOff>15881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0960F729-46A8-F2A0-46F8-5263C475E032}"/>
            </a:ext>
          </a:extLst>
        </xdr:cNvPr>
        <xdr:cNvGrpSpPr/>
      </xdr:nvGrpSpPr>
      <xdr:grpSpPr>
        <a:xfrm>
          <a:off x="10620374" y="992186"/>
          <a:ext cx="3405188" cy="1285883"/>
          <a:chOff x="10739438" y="952501"/>
          <a:chExt cx="3405188" cy="1285883"/>
        </a:xfrm>
      </xdr:grpSpPr>
      <xdr:grpSp>
        <xdr:nvGrpSpPr>
          <xdr:cNvPr id="25" name="Agrupar 24">
            <a:extLst>
              <a:ext uri="{FF2B5EF4-FFF2-40B4-BE49-F238E27FC236}">
                <a16:creationId xmlns:a16="http://schemas.microsoft.com/office/drawing/2014/main" id="{BBBC7280-811F-4090-A9EB-85425001CF03}"/>
              </a:ext>
            </a:extLst>
          </xdr:cNvPr>
          <xdr:cNvGrpSpPr/>
        </xdr:nvGrpSpPr>
        <xdr:grpSpPr>
          <a:xfrm>
            <a:off x="10739438" y="952501"/>
            <a:ext cx="3405188" cy="1285883"/>
            <a:chOff x="7175501" y="936617"/>
            <a:chExt cx="3405188" cy="1285883"/>
          </a:xfrm>
        </xdr:grpSpPr>
        <xdr:sp macro="" textlink="">
          <xdr:nvSpPr>
            <xdr:cNvPr id="26" name="Retângulo: Cantos Arredondados 25">
              <a:extLst>
                <a:ext uri="{FF2B5EF4-FFF2-40B4-BE49-F238E27FC236}">
                  <a16:creationId xmlns:a16="http://schemas.microsoft.com/office/drawing/2014/main" id="{EDA3F532-21EF-88E6-6AEC-AD164C060E82}"/>
                </a:ext>
              </a:extLst>
            </xdr:cNvPr>
            <xdr:cNvSpPr/>
          </xdr:nvSpPr>
          <xdr:spPr>
            <a:xfrm>
              <a:off x="7175501" y="936626"/>
              <a:ext cx="3405188" cy="1285874"/>
            </a:xfrm>
            <a:prstGeom prst="roundRect">
              <a:avLst>
                <a:gd name="adj" fmla="val 10417"/>
              </a:avLst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C̳álculos!D24">
          <xdr:nvSpPr>
            <xdr:cNvPr id="27" name="Retângulo: Cantos Arredondados 26">
              <a:extLst>
                <a:ext uri="{FF2B5EF4-FFF2-40B4-BE49-F238E27FC236}">
                  <a16:creationId xmlns:a16="http://schemas.microsoft.com/office/drawing/2014/main" id="{8DB2959A-809F-5E7E-23A9-89A041AAEDE1}"/>
                </a:ext>
              </a:extLst>
            </xdr:cNvPr>
            <xdr:cNvSpPr/>
          </xdr:nvSpPr>
          <xdr:spPr>
            <a:xfrm>
              <a:off x="8556623" y="1421117"/>
              <a:ext cx="2007629" cy="682013"/>
            </a:xfrm>
            <a:prstGeom prst="roundRect">
              <a:avLst>
                <a:gd name="adj" fmla="val 10417"/>
              </a:avLst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862D2C25-A908-4421-A64C-5041FCA8DD96}" type="TxLink">
                <a:rPr lang="en-US" sz="2400" b="1" i="0" u="none" strike="noStrike">
                  <a:solidFill>
                    <a:srgbClr val="2AE6B1"/>
                  </a:solidFill>
                  <a:latin typeface="Aptos Narrow"/>
                </a:rPr>
                <a:pPr algn="r"/>
                <a:t>R$ 1.140,00</a:t>
              </a:fld>
              <a:endParaRPr lang="pt-BR" sz="4800" b="1">
                <a:solidFill>
                  <a:srgbClr val="2AE6B1"/>
                </a:solidFill>
              </a:endParaRPr>
            </a:p>
          </xdr:txBody>
        </xdr:sp>
        <xdr:sp macro="" textlink="">
          <xdr:nvSpPr>
            <xdr:cNvPr id="29" name="Retângulo: Cantos Superiores Arredondados 28">
              <a:extLst>
                <a:ext uri="{FF2B5EF4-FFF2-40B4-BE49-F238E27FC236}">
                  <a16:creationId xmlns:a16="http://schemas.microsoft.com/office/drawing/2014/main" id="{EF4F2827-C1A4-7B21-4CB1-86ED301A61EE}"/>
                </a:ext>
              </a:extLst>
            </xdr:cNvPr>
            <xdr:cNvSpPr/>
          </xdr:nvSpPr>
          <xdr:spPr>
            <a:xfrm>
              <a:off x="7175501" y="936617"/>
              <a:ext cx="3405188" cy="396875"/>
            </a:xfrm>
            <a:prstGeom prst="round2SameRect">
              <a:avLst>
                <a:gd name="adj1" fmla="val 36667"/>
                <a:gd name="adj2" fmla="val 2000"/>
              </a:avLst>
            </a:prstGeom>
            <a:solidFill>
              <a:srgbClr val="2AE6B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 anchorCtr="0"/>
            <a:lstStyle/>
            <a:p>
              <a:pPr algn="ctr"/>
              <a:r>
                <a:rPr lang="pt-BR" sz="1000" b="1">
                  <a:latin typeface="Segoe UI" panose="020B0502040204020203" pitchFamily="34" charset="0"/>
                  <a:cs typeface="Segoe UI" panose="020B0502040204020203" pitchFamily="34" charset="0"/>
                </a:rPr>
                <a:t>TOTAL SUBSCRIPTIONS MINECRAFT SEASON PASS</a:t>
              </a: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6188F5F7-59C8-493E-8A19-6944E92D8B67}"/>
              </a:ext>
            </a:extLst>
          </xdr:cNvPr>
          <xdr:cNvGrpSpPr/>
        </xdr:nvGrpSpPr>
        <xdr:grpSpPr>
          <a:xfrm>
            <a:off x="11001374" y="1476374"/>
            <a:ext cx="1127125" cy="619119"/>
            <a:chOff x="3495674" y="5400680"/>
            <a:chExt cx="1549476" cy="752471"/>
          </a:xfrm>
        </xdr:grpSpPr>
        <xdr:pic>
          <xdr:nvPicPr>
            <xdr:cNvPr id="31" name="Imagem 30">
              <a:extLst>
                <a:ext uri="{FF2B5EF4-FFF2-40B4-BE49-F238E27FC236}">
                  <a16:creationId xmlns:a16="http://schemas.microsoft.com/office/drawing/2014/main" id="{B705B464-687E-41D7-C0AF-1B5B755121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80"/>
              <a:ext cx="555496" cy="609599"/>
            </a:xfrm>
            <a:prstGeom prst="rect">
              <a:avLst/>
            </a:prstGeom>
          </xdr:spPr>
        </xdr:pic>
        <xdr:pic>
          <xdr:nvPicPr>
            <xdr:cNvPr id="32" name="Gráfico 31">
              <a:extLst>
                <a:ext uri="{FF2B5EF4-FFF2-40B4-BE49-F238E27FC236}">
                  <a16:creationId xmlns:a16="http://schemas.microsoft.com/office/drawing/2014/main" id="{42233D24-69EA-693B-5091-EF72DB9C5E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3495674" y="5895938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 editAs="absolute">
    <xdr:from>
      <xdr:col>9</xdr:col>
      <xdr:colOff>507999</xdr:colOff>
      <xdr:row>12</xdr:row>
      <xdr:rowOff>15873</xdr:rowOff>
    </xdr:from>
    <xdr:to>
      <xdr:col>15</xdr:col>
      <xdr:colOff>396875</xdr:colOff>
      <xdr:row>19</xdr:row>
      <xdr:rowOff>23818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3F7E2E76-2816-5FE8-8EB3-47AE72D533E7}"/>
            </a:ext>
          </a:extLst>
        </xdr:cNvPr>
        <xdr:cNvGrpSpPr/>
      </xdr:nvGrpSpPr>
      <xdr:grpSpPr>
        <a:xfrm>
          <a:off x="7056437" y="2460623"/>
          <a:ext cx="3405188" cy="1285883"/>
          <a:chOff x="7072313" y="2341563"/>
          <a:chExt cx="3405188" cy="1285883"/>
        </a:xfrm>
      </xdr:grpSpPr>
      <xdr:grpSp>
        <xdr:nvGrpSpPr>
          <xdr:cNvPr id="34" name="Agrupar 33">
            <a:extLst>
              <a:ext uri="{FF2B5EF4-FFF2-40B4-BE49-F238E27FC236}">
                <a16:creationId xmlns:a16="http://schemas.microsoft.com/office/drawing/2014/main" id="{537B437C-484B-4EFE-8F85-6008C1B4FF42}"/>
              </a:ext>
            </a:extLst>
          </xdr:cNvPr>
          <xdr:cNvGrpSpPr/>
        </xdr:nvGrpSpPr>
        <xdr:grpSpPr>
          <a:xfrm>
            <a:off x="7072313" y="2341563"/>
            <a:ext cx="3405188" cy="1285883"/>
            <a:chOff x="7175501" y="936617"/>
            <a:chExt cx="3405188" cy="1285883"/>
          </a:xfrm>
        </xdr:grpSpPr>
        <xdr:sp macro="" textlink="">
          <xdr:nvSpPr>
            <xdr:cNvPr id="35" name="Retângulo: Cantos Arredondados 34">
              <a:extLst>
                <a:ext uri="{FF2B5EF4-FFF2-40B4-BE49-F238E27FC236}">
                  <a16:creationId xmlns:a16="http://schemas.microsoft.com/office/drawing/2014/main" id="{B166BBF9-6AB9-4D04-7B2E-F193F8D8C4BF}"/>
                </a:ext>
              </a:extLst>
            </xdr:cNvPr>
            <xdr:cNvSpPr/>
          </xdr:nvSpPr>
          <xdr:spPr>
            <a:xfrm>
              <a:off x="7175501" y="936626"/>
              <a:ext cx="3405188" cy="1285874"/>
            </a:xfrm>
            <a:prstGeom prst="roundRect">
              <a:avLst>
                <a:gd name="adj" fmla="val 10417"/>
              </a:avLst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C̳álculos!D31">
          <xdr:nvSpPr>
            <xdr:cNvPr id="36" name="Retângulo: Cantos Arredondados 35">
              <a:extLst>
                <a:ext uri="{FF2B5EF4-FFF2-40B4-BE49-F238E27FC236}">
                  <a16:creationId xmlns:a16="http://schemas.microsoft.com/office/drawing/2014/main" id="{9BA2C668-DEEC-692D-A131-CE45560354CD}"/>
                </a:ext>
              </a:extLst>
            </xdr:cNvPr>
            <xdr:cNvSpPr/>
          </xdr:nvSpPr>
          <xdr:spPr>
            <a:xfrm>
              <a:off x="8556623" y="1421117"/>
              <a:ext cx="2007629" cy="682013"/>
            </a:xfrm>
            <a:prstGeom prst="roundRect">
              <a:avLst>
                <a:gd name="adj" fmla="val 10417"/>
              </a:avLst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4058F156-F42C-4B62-8116-180E70684163}" type="TxLink">
                <a:rPr lang="en-US" sz="2400" b="1" i="0" u="none" strike="noStrike">
                  <a:solidFill>
                    <a:srgbClr val="2AE6B1"/>
                  </a:solidFill>
                  <a:latin typeface="Aptos Narrow"/>
                </a:rPr>
                <a:pPr algn="r"/>
                <a:t>R$ 875,00</a:t>
              </a:fld>
              <a:endParaRPr lang="pt-BR" sz="4800" b="1">
                <a:solidFill>
                  <a:srgbClr val="2AE6B1"/>
                </a:solidFill>
              </a:endParaRPr>
            </a:p>
          </xdr:txBody>
        </xdr:sp>
        <xdr:sp macro="" textlink="">
          <xdr:nvSpPr>
            <xdr:cNvPr id="38" name="Retângulo: Cantos Superiores Arredondados 37">
              <a:extLst>
                <a:ext uri="{FF2B5EF4-FFF2-40B4-BE49-F238E27FC236}">
                  <a16:creationId xmlns:a16="http://schemas.microsoft.com/office/drawing/2014/main" id="{4C852CF4-1849-F084-822E-FE03C2EB17AD}"/>
                </a:ext>
              </a:extLst>
            </xdr:cNvPr>
            <xdr:cNvSpPr/>
          </xdr:nvSpPr>
          <xdr:spPr>
            <a:xfrm>
              <a:off x="7175501" y="936617"/>
              <a:ext cx="3405188" cy="396875"/>
            </a:xfrm>
            <a:prstGeom prst="round2SameRect">
              <a:avLst>
                <a:gd name="adj1" fmla="val 36667"/>
                <a:gd name="adj2" fmla="val 2000"/>
              </a:avLst>
            </a:prstGeom>
            <a:solidFill>
              <a:srgbClr val="2AE6B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 anchorCtr="0"/>
            <a:lstStyle/>
            <a:p>
              <a:pPr algn="ctr"/>
              <a:r>
                <a:rPr lang="pt-BR" sz="1100" b="1">
                  <a:latin typeface="Segoe UI" panose="020B0502040204020203" pitchFamily="34" charset="0"/>
                  <a:cs typeface="Segoe UI" panose="020B0502040204020203" pitchFamily="34" charset="0"/>
                </a:rPr>
                <a:t>TOTAL SUBSCRIPTIONS XBOX GAME PASS</a:t>
              </a:r>
            </a:p>
          </xdr:txBody>
        </xdr:sp>
      </xdr:grpSp>
      <xdr:pic>
        <xdr:nvPicPr>
          <xdr:cNvPr id="40" name="Imagem 39">
            <a:extLst>
              <a:ext uri="{FF2B5EF4-FFF2-40B4-BE49-F238E27FC236}">
                <a16:creationId xmlns:a16="http://schemas.microsoft.com/office/drawing/2014/main" id="{8A9030DD-C244-41F9-BC12-8ED017B22A2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7239000" y="2975077"/>
            <a:ext cx="1310907" cy="383985"/>
          </a:xfrm>
          <a:prstGeom prst="rect">
            <a:avLst/>
          </a:prstGeom>
        </xdr:spPr>
      </xdr:pic>
    </xdr:grpSp>
    <xdr:clientData/>
  </xdr:twoCellAnchor>
  <xdr:twoCellAnchor editAs="absolute">
    <xdr:from>
      <xdr:col>15</xdr:col>
      <xdr:colOff>579437</xdr:colOff>
      <xdr:row>12</xdr:row>
      <xdr:rowOff>31750</xdr:rowOff>
    </xdr:from>
    <xdr:to>
      <xdr:col>21</xdr:col>
      <xdr:colOff>317500</xdr:colOff>
      <xdr:row>19</xdr:row>
      <xdr:rowOff>39695</xdr:rowOff>
    </xdr:to>
    <xdr:grpSp>
      <xdr:nvGrpSpPr>
        <xdr:cNvPr id="57" name="Agrupar 56">
          <a:extLst>
            <a:ext uri="{FF2B5EF4-FFF2-40B4-BE49-F238E27FC236}">
              <a16:creationId xmlns:a16="http://schemas.microsoft.com/office/drawing/2014/main" id="{9BFBF209-864C-D872-BD77-91510A8BFB1D}"/>
            </a:ext>
          </a:extLst>
        </xdr:cNvPr>
        <xdr:cNvGrpSpPr/>
      </xdr:nvGrpSpPr>
      <xdr:grpSpPr>
        <a:xfrm>
          <a:off x="10644187" y="2476500"/>
          <a:ext cx="3405188" cy="1285883"/>
          <a:chOff x="10660063" y="2381250"/>
          <a:chExt cx="3405188" cy="1285883"/>
        </a:xfrm>
      </xdr:grpSpPr>
      <xdr:grpSp>
        <xdr:nvGrpSpPr>
          <xdr:cNvPr id="45" name="Agrupar 44">
            <a:extLst>
              <a:ext uri="{FF2B5EF4-FFF2-40B4-BE49-F238E27FC236}">
                <a16:creationId xmlns:a16="http://schemas.microsoft.com/office/drawing/2014/main" id="{D4E3139C-E1C3-32DD-10E6-57E2F74710F8}"/>
              </a:ext>
            </a:extLst>
          </xdr:cNvPr>
          <xdr:cNvGrpSpPr/>
        </xdr:nvGrpSpPr>
        <xdr:grpSpPr>
          <a:xfrm>
            <a:off x="10660063" y="2381250"/>
            <a:ext cx="3405188" cy="1285883"/>
            <a:chOff x="7175501" y="936617"/>
            <a:chExt cx="3405188" cy="1285883"/>
          </a:xfrm>
        </xdr:grpSpPr>
        <xdr:sp macro="" textlink="">
          <xdr:nvSpPr>
            <xdr:cNvPr id="49" name="Retângulo: Cantos Arredondados 48">
              <a:extLst>
                <a:ext uri="{FF2B5EF4-FFF2-40B4-BE49-F238E27FC236}">
                  <a16:creationId xmlns:a16="http://schemas.microsoft.com/office/drawing/2014/main" id="{7B39FB7E-85FE-BEA3-DAAD-EF04F42ADCD1}"/>
                </a:ext>
              </a:extLst>
            </xdr:cNvPr>
            <xdr:cNvSpPr/>
          </xdr:nvSpPr>
          <xdr:spPr>
            <a:xfrm>
              <a:off x="7175501" y="936626"/>
              <a:ext cx="3405188" cy="1285874"/>
            </a:xfrm>
            <a:prstGeom prst="roundRect">
              <a:avLst>
                <a:gd name="adj" fmla="val 10417"/>
              </a:avLst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C̳álculos!D38">
          <xdr:nvSpPr>
            <xdr:cNvPr id="50" name="Retângulo: Cantos Arredondados 49">
              <a:extLst>
                <a:ext uri="{FF2B5EF4-FFF2-40B4-BE49-F238E27FC236}">
                  <a16:creationId xmlns:a16="http://schemas.microsoft.com/office/drawing/2014/main" id="{25309A8A-651F-CDA1-200F-A24CE6F76DC8}"/>
                </a:ext>
              </a:extLst>
            </xdr:cNvPr>
            <xdr:cNvSpPr/>
          </xdr:nvSpPr>
          <xdr:spPr>
            <a:xfrm>
              <a:off x="8556623" y="1421117"/>
              <a:ext cx="2007629" cy="682013"/>
            </a:xfrm>
            <a:prstGeom prst="roundRect">
              <a:avLst>
                <a:gd name="adj" fmla="val 10417"/>
              </a:avLst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r"/>
              <a:fld id="{87865417-A669-4755-8833-E67B54332086}" type="TxLink">
                <a:rPr lang="en-US" sz="2400" b="1" i="0" u="none" strike="noStrike">
                  <a:solidFill>
                    <a:srgbClr val="2AE6B1"/>
                  </a:solidFill>
                  <a:latin typeface="Aptos Narrow"/>
                </a:rPr>
                <a:pPr algn="r"/>
                <a:t>R$ 2.308,00</a:t>
              </a:fld>
              <a:endParaRPr lang="pt-BR" sz="8800" b="1">
                <a:solidFill>
                  <a:srgbClr val="2AE6B1"/>
                </a:solidFill>
              </a:endParaRPr>
            </a:p>
          </xdr:txBody>
        </xdr:sp>
        <xdr:sp macro="" textlink="">
          <xdr:nvSpPr>
            <xdr:cNvPr id="51" name="Retângulo: Cantos Superiores Arredondados 50">
              <a:extLst>
                <a:ext uri="{FF2B5EF4-FFF2-40B4-BE49-F238E27FC236}">
                  <a16:creationId xmlns:a16="http://schemas.microsoft.com/office/drawing/2014/main" id="{C077AAAE-7DCB-BE06-E67A-26DD874F3FCB}"/>
                </a:ext>
              </a:extLst>
            </xdr:cNvPr>
            <xdr:cNvSpPr/>
          </xdr:nvSpPr>
          <xdr:spPr>
            <a:xfrm>
              <a:off x="7175501" y="936617"/>
              <a:ext cx="3405188" cy="396875"/>
            </a:xfrm>
            <a:prstGeom prst="round2SameRect">
              <a:avLst>
                <a:gd name="adj1" fmla="val 36667"/>
                <a:gd name="adj2" fmla="val 2000"/>
              </a:avLst>
            </a:prstGeom>
            <a:solidFill>
              <a:srgbClr val="2AE6B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 anchorCtr="0"/>
            <a:lstStyle/>
            <a:p>
              <a:pPr algn="ctr"/>
              <a:r>
                <a:rPr lang="pt-BR" sz="1100" b="1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TOTAL SUBSCRIPTIONS XBOX GAME PASS + SEASONS </a:t>
              </a:r>
              <a:endParaRPr lang="pt-BR" sz="1000" b="1"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</xdr:grpSp>
      <xdr:grpSp>
        <xdr:nvGrpSpPr>
          <xdr:cNvPr id="56" name="Agrupar 55">
            <a:extLst>
              <a:ext uri="{FF2B5EF4-FFF2-40B4-BE49-F238E27FC236}">
                <a16:creationId xmlns:a16="http://schemas.microsoft.com/office/drawing/2014/main" id="{BBFFA6F9-D200-AA8C-4C06-1650FE2CCD16}"/>
              </a:ext>
            </a:extLst>
          </xdr:cNvPr>
          <xdr:cNvGrpSpPr/>
        </xdr:nvGrpSpPr>
        <xdr:grpSpPr>
          <a:xfrm>
            <a:off x="11001376" y="2897188"/>
            <a:ext cx="896937" cy="642936"/>
            <a:chOff x="7635876" y="4151312"/>
            <a:chExt cx="1348988" cy="928687"/>
          </a:xfrm>
        </xdr:grpSpPr>
        <xdr:pic>
          <xdr:nvPicPr>
            <xdr:cNvPr id="52" name="Imagem 51">
              <a:extLst>
                <a:ext uri="{FF2B5EF4-FFF2-40B4-BE49-F238E27FC236}">
                  <a16:creationId xmlns:a16="http://schemas.microsoft.com/office/drawing/2014/main" id="{58D24F6E-F9D5-45E5-8753-6CAC453691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7848647" y="4556125"/>
              <a:ext cx="237818" cy="295192"/>
            </a:xfrm>
            <a:prstGeom prst="rect">
              <a:avLst/>
            </a:prstGeom>
          </xdr:spPr>
        </xdr:pic>
        <xdr:pic>
          <xdr:nvPicPr>
            <xdr:cNvPr id="53" name="Gráfico 52">
              <a:extLst>
                <a:ext uri="{FF2B5EF4-FFF2-40B4-BE49-F238E27FC236}">
                  <a16:creationId xmlns:a16="http://schemas.microsoft.com/office/drawing/2014/main" id="{1B8D778A-DB25-418F-863F-6C7780FD02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7635876" y="4844315"/>
              <a:ext cx="663360" cy="124553"/>
            </a:xfrm>
            <a:prstGeom prst="rect">
              <a:avLst/>
            </a:prstGeom>
          </xdr:spPr>
        </xdr:pic>
        <xdr:pic>
          <xdr:nvPicPr>
            <xdr:cNvPr id="54" name="Imagem 53">
              <a:extLst>
                <a:ext uri="{FF2B5EF4-FFF2-40B4-BE49-F238E27FC236}">
                  <a16:creationId xmlns:a16="http://schemas.microsoft.com/office/drawing/2014/main" id="{EE489445-5147-4804-9A53-C14215DC71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8342313" y="4460874"/>
              <a:ext cx="642551" cy="619125"/>
            </a:xfrm>
            <a:prstGeom prst="rect">
              <a:avLst/>
            </a:prstGeom>
          </xdr:spPr>
        </xdr:pic>
        <xdr:pic>
          <xdr:nvPicPr>
            <xdr:cNvPr id="55" name="Imagem 54">
              <a:extLst>
                <a:ext uri="{FF2B5EF4-FFF2-40B4-BE49-F238E27FC236}">
                  <a16:creationId xmlns:a16="http://schemas.microsoft.com/office/drawing/2014/main" id="{4D498D4B-2C74-4D35-A8D4-FCAF9969F7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7913689" y="4151312"/>
              <a:ext cx="850238" cy="249048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0</xdr:col>
      <xdr:colOff>619127</xdr:colOff>
      <xdr:row>0</xdr:row>
      <xdr:rowOff>127000</xdr:rowOff>
    </xdr:from>
    <xdr:to>
      <xdr:col>0</xdr:col>
      <xdr:colOff>1198563</xdr:colOff>
      <xdr:row>2</xdr:row>
      <xdr:rowOff>150812</xdr:rowOff>
    </xdr:to>
    <xdr:sp macro="" textlink="">
      <xdr:nvSpPr>
        <xdr:cNvPr id="58" name="Elipse 57">
          <a:extLst>
            <a:ext uri="{FF2B5EF4-FFF2-40B4-BE49-F238E27FC236}">
              <a16:creationId xmlns:a16="http://schemas.microsoft.com/office/drawing/2014/main" id="{BD2271ED-79B4-410F-BCE3-A48C7C009127}"/>
            </a:ext>
          </a:extLst>
        </xdr:cNvPr>
        <xdr:cNvSpPr/>
      </xdr:nvSpPr>
      <xdr:spPr>
        <a:xfrm>
          <a:off x="619127" y="127000"/>
          <a:ext cx="579436" cy="531812"/>
        </a:xfrm>
        <a:prstGeom prst="ellipse">
          <a:avLst/>
        </a:prstGeom>
        <a:blipFill>
          <a:blip xmlns:r="http://schemas.openxmlformats.org/officeDocument/2006/relationships" r:embed="rId9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pt-BR" sz="1100" u="sng" kern="12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elo JSSantos" refreshedDate="46155.655529166666" createdVersion="8" refreshedVersion="8" minRefreshableVersion="3" recordCount="295" xr:uid="{D08C205A-8E38-4231-A238-6C4B879AAD94}">
  <cacheSource type="worksheet">
    <worksheetSource name="tbl_base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02750480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d v="2024-01-01T00:00:00"/>
    <x v="0"/>
    <n v="15"/>
    <x v="0"/>
    <x v="0"/>
    <x v="0"/>
    <s v="Yes"/>
    <n v="20"/>
    <n v="5"/>
    <n v="60"/>
  </r>
  <r>
    <n v="3232"/>
    <s v="Maria Oliveira"/>
    <x v="1"/>
    <d v="2024-01-15T00:00:00"/>
    <x v="1"/>
    <n v="5"/>
    <x v="1"/>
    <x v="1"/>
    <x v="1"/>
    <s v="No"/>
    <n v="0"/>
    <n v="0"/>
    <n v="5"/>
  </r>
  <r>
    <n v="3233"/>
    <s v="Lucas Fernandes"/>
    <x v="2"/>
    <d v="2024-02-10T00:00:00"/>
    <x v="0"/>
    <n v="10"/>
    <x v="2"/>
    <x v="1"/>
    <x v="1"/>
    <s v="Yes"/>
    <n v="20"/>
    <n v="10"/>
    <n v="20"/>
  </r>
  <r>
    <n v="3234"/>
    <s v="Ana Souza"/>
    <x v="0"/>
    <d v="2024-02-20T00:00:00"/>
    <x v="1"/>
    <n v="15"/>
    <x v="0"/>
    <x v="0"/>
    <x v="0"/>
    <s v="Yes"/>
    <n v="20"/>
    <n v="3"/>
    <n v="62"/>
  </r>
  <r>
    <n v="3235"/>
    <s v="Pedro Gonçalves"/>
    <x v="1"/>
    <d v="2024-03-05T00:00:00"/>
    <x v="0"/>
    <n v="5"/>
    <x v="0"/>
    <x v="1"/>
    <x v="1"/>
    <s v="No"/>
    <n v="0"/>
    <n v="1"/>
    <n v="4"/>
  </r>
  <r>
    <n v="3236"/>
    <s v="Felipe Costa"/>
    <x v="2"/>
    <d v="2024-03-02T00:00:00"/>
    <x v="1"/>
    <n v="10"/>
    <x v="0"/>
    <x v="1"/>
    <x v="1"/>
    <s v="Yes"/>
    <n v="20"/>
    <n v="2"/>
    <n v="28"/>
  </r>
  <r>
    <n v="3237"/>
    <s v="Camila Ribeiro"/>
    <x v="0"/>
    <d v="2024-03-03T00:00:00"/>
    <x v="0"/>
    <n v="15"/>
    <x v="2"/>
    <x v="0"/>
    <x v="0"/>
    <s v="Yes"/>
    <n v="20"/>
    <n v="10"/>
    <n v="55"/>
  </r>
  <r>
    <n v="3238"/>
    <s v="André Mendes"/>
    <x v="1"/>
    <d v="2024-03-04T00:00:00"/>
    <x v="0"/>
    <n v="5"/>
    <x v="1"/>
    <x v="1"/>
    <x v="1"/>
    <s v="No"/>
    <n v="0"/>
    <n v="0"/>
    <n v="5"/>
  </r>
  <r>
    <n v="3239"/>
    <s v="Sofia Almeida"/>
    <x v="0"/>
    <d v="2024-03-05T00:00:00"/>
    <x v="1"/>
    <n v="15"/>
    <x v="0"/>
    <x v="0"/>
    <x v="0"/>
    <s v="Yes"/>
    <n v="20"/>
    <n v="5"/>
    <n v="60"/>
  </r>
  <r>
    <n v="3240"/>
    <s v="Bruno Martins"/>
    <x v="2"/>
    <d v="2024-03-06T00:00:00"/>
    <x v="0"/>
    <n v="10"/>
    <x v="2"/>
    <x v="1"/>
    <x v="1"/>
    <s v="Yes"/>
    <n v="20"/>
    <n v="15"/>
    <n v="15"/>
  </r>
  <r>
    <n v="3241"/>
    <s v="Rita Castro"/>
    <x v="1"/>
    <d v="2024-03-07T00:00:00"/>
    <x v="1"/>
    <n v="5"/>
    <x v="0"/>
    <x v="1"/>
    <x v="1"/>
    <s v="No"/>
    <n v="0"/>
    <n v="1"/>
    <n v="4"/>
  </r>
  <r>
    <n v="3242"/>
    <s v="Marco Túlio"/>
    <x v="0"/>
    <d v="2024-03-08T00:00:00"/>
    <x v="0"/>
    <n v="15"/>
    <x v="1"/>
    <x v="0"/>
    <x v="0"/>
    <s v="Yes"/>
    <n v="20"/>
    <n v="20"/>
    <n v="45"/>
  </r>
  <r>
    <n v="3243"/>
    <s v="Lívia Silveira"/>
    <x v="2"/>
    <d v="2024-03-09T00:00:00"/>
    <x v="1"/>
    <n v="10"/>
    <x v="0"/>
    <x v="1"/>
    <x v="1"/>
    <s v="Yes"/>
    <n v="20"/>
    <n v="10"/>
    <n v="20"/>
  </r>
  <r>
    <n v="3244"/>
    <s v="Diogo Sousa"/>
    <x v="1"/>
    <d v="2024-03-10T00:00:00"/>
    <x v="0"/>
    <n v="5"/>
    <x v="2"/>
    <x v="1"/>
    <x v="1"/>
    <s v="No"/>
    <n v="0"/>
    <n v="0"/>
    <n v="5"/>
  </r>
  <r>
    <n v="3245"/>
    <s v="Fernanda Lima"/>
    <x v="0"/>
    <d v="2024-03-11T00:00:00"/>
    <x v="1"/>
    <n v="15"/>
    <x v="0"/>
    <x v="0"/>
    <x v="0"/>
    <s v="Yes"/>
    <n v="20"/>
    <n v="8"/>
    <n v="57"/>
  </r>
  <r>
    <n v="3246"/>
    <s v="Caio Pereira"/>
    <x v="2"/>
    <d v="2024-03-12T00:00:00"/>
    <x v="0"/>
    <n v="10"/>
    <x v="1"/>
    <x v="1"/>
    <x v="1"/>
    <s v="Yes"/>
    <n v="20"/>
    <n v="12"/>
    <n v="18"/>
  </r>
  <r>
    <n v="3247"/>
    <s v="Beatriz Gomes"/>
    <x v="1"/>
    <d v="2024-03-13T00:00:00"/>
    <x v="1"/>
    <n v="5"/>
    <x v="0"/>
    <x v="1"/>
    <x v="1"/>
    <s v="No"/>
    <n v="0"/>
    <n v="2"/>
    <n v="3"/>
  </r>
  <r>
    <n v="3248"/>
    <s v="Cesar Oliveira"/>
    <x v="0"/>
    <d v="2024-03-14T00:00:00"/>
    <x v="0"/>
    <n v="15"/>
    <x v="2"/>
    <x v="0"/>
    <x v="0"/>
    <s v="Yes"/>
    <n v="20"/>
    <n v="7"/>
    <n v="58"/>
  </r>
  <r>
    <n v="3249"/>
    <s v="Débora Machado"/>
    <x v="2"/>
    <d v="2024-03-15T00:00:00"/>
    <x v="1"/>
    <n v="10"/>
    <x v="0"/>
    <x v="1"/>
    <x v="1"/>
    <s v="Yes"/>
    <n v="20"/>
    <n v="5"/>
    <n v="25"/>
  </r>
  <r>
    <n v="3250"/>
    <s v="Eduardo Vargas"/>
    <x v="1"/>
    <d v="2024-03-16T00:00:00"/>
    <x v="0"/>
    <n v="5"/>
    <x v="1"/>
    <x v="1"/>
    <x v="1"/>
    <s v="No"/>
    <n v="0"/>
    <n v="0"/>
    <n v="5"/>
  </r>
  <r>
    <n v="3251"/>
    <s v="Gabriela Santos"/>
    <x v="0"/>
    <d v="2024-03-17T00:00:00"/>
    <x v="1"/>
    <n v="15"/>
    <x v="0"/>
    <x v="0"/>
    <x v="0"/>
    <s v="Yes"/>
    <n v="20"/>
    <n v="3"/>
    <n v="62"/>
  </r>
  <r>
    <n v="3252"/>
    <s v="Henrique Dias"/>
    <x v="2"/>
    <d v="2024-03-18T00:00:00"/>
    <x v="0"/>
    <n v="10"/>
    <x v="2"/>
    <x v="1"/>
    <x v="1"/>
    <s v="Yes"/>
    <n v="20"/>
    <n v="15"/>
    <n v="15"/>
  </r>
  <r>
    <n v="3253"/>
    <s v="Isabela Moreira"/>
    <x v="1"/>
    <d v="2024-03-19T00:00:00"/>
    <x v="1"/>
    <n v="5"/>
    <x v="0"/>
    <x v="1"/>
    <x v="1"/>
    <s v="No"/>
    <n v="0"/>
    <n v="1"/>
    <n v="4"/>
  </r>
  <r>
    <n v="3254"/>
    <s v="Joaquim Barbosa"/>
    <x v="0"/>
    <d v="2024-03-20T00:00:00"/>
    <x v="0"/>
    <n v="15"/>
    <x v="1"/>
    <x v="0"/>
    <x v="0"/>
    <s v="Yes"/>
    <n v="20"/>
    <n v="20"/>
    <n v="45"/>
  </r>
  <r>
    <n v="3255"/>
    <s v="Lara Rocha"/>
    <x v="2"/>
    <d v="2024-03-21T00:00:00"/>
    <x v="1"/>
    <n v="10"/>
    <x v="0"/>
    <x v="1"/>
    <x v="1"/>
    <s v="Yes"/>
    <n v="20"/>
    <n v="10"/>
    <n v="20"/>
  </r>
  <r>
    <n v="3256"/>
    <s v="Matheus Silva"/>
    <x v="1"/>
    <d v="2024-03-22T00:00:00"/>
    <x v="0"/>
    <n v="5"/>
    <x v="2"/>
    <x v="1"/>
    <x v="1"/>
    <s v="No"/>
    <n v="0"/>
    <n v="0"/>
    <n v="5"/>
  </r>
  <r>
    <n v="3257"/>
    <s v="Nicole Costa"/>
    <x v="0"/>
    <d v="2024-03-23T00:00:00"/>
    <x v="1"/>
    <n v="15"/>
    <x v="0"/>
    <x v="0"/>
    <x v="0"/>
    <s v="Yes"/>
    <n v="20"/>
    <n v="5"/>
    <n v="60"/>
  </r>
  <r>
    <n v="3258"/>
    <s v="Otávio Mendonça"/>
    <x v="2"/>
    <d v="2024-03-24T00:00:00"/>
    <x v="0"/>
    <n v="10"/>
    <x v="1"/>
    <x v="1"/>
    <x v="1"/>
    <s v="Yes"/>
    <n v="20"/>
    <n v="15"/>
    <n v="15"/>
  </r>
  <r>
    <n v="3259"/>
    <s v="Paula Ferreira"/>
    <x v="1"/>
    <d v="2024-03-25T00:00:00"/>
    <x v="1"/>
    <n v="5"/>
    <x v="0"/>
    <x v="1"/>
    <x v="1"/>
    <s v="No"/>
    <n v="0"/>
    <n v="1"/>
    <n v="4"/>
  </r>
  <r>
    <n v="3260"/>
    <s v="Raquel Alves"/>
    <x v="0"/>
    <d v="2024-03-26T00:00:00"/>
    <x v="0"/>
    <n v="15"/>
    <x v="2"/>
    <x v="0"/>
    <x v="0"/>
    <s v="Yes"/>
    <n v="20"/>
    <n v="7"/>
    <n v="58"/>
  </r>
  <r>
    <n v="3261"/>
    <s v="Samuel Pires"/>
    <x v="2"/>
    <d v="2024-03-27T00:00:00"/>
    <x v="1"/>
    <n v="10"/>
    <x v="0"/>
    <x v="1"/>
    <x v="1"/>
    <s v="Yes"/>
    <n v="20"/>
    <n v="10"/>
    <n v="20"/>
  </r>
  <r>
    <n v="3262"/>
    <s v="Tânia Barros"/>
    <x v="1"/>
    <d v="2024-03-28T00:00:00"/>
    <x v="0"/>
    <n v="5"/>
    <x v="1"/>
    <x v="1"/>
    <x v="1"/>
    <s v="No"/>
    <n v="0"/>
    <n v="0"/>
    <n v="5"/>
  </r>
  <r>
    <n v="3263"/>
    <s v="Vinicius Lima"/>
    <x v="0"/>
    <d v="2024-03-29T00:00:00"/>
    <x v="1"/>
    <n v="15"/>
    <x v="0"/>
    <x v="0"/>
    <x v="0"/>
    <s v="Yes"/>
    <n v="20"/>
    <n v="3"/>
    <n v="62"/>
  </r>
  <r>
    <n v="3264"/>
    <s v="Yasmin Teixeira"/>
    <x v="2"/>
    <d v="2024-03-30T00:00:00"/>
    <x v="0"/>
    <n v="10"/>
    <x v="2"/>
    <x v="1"/>
    <x v="1"/>
    <s v="Yes"/>
    <n v="20"/>
    <n v="15"/>
    <n v="15"/>
  </r>
  <r>
    <n v="3265"/>
    <s v="Zé Carlos"/>
    <x v="1"/>
    <d v="2024-03-31T00:00:00"/>
    <x v="1"/>
    <n v="5"/>
    <x v="0"/>
    <x v="1"/>
    <x v="1"/>
    <s v="No"/>
    <n v="0"/>
    <n v="1"/>
    <n v="4"/>
  </r>
  <r>
    <n v="3266"/>
    <s v="Amanda Nogueira"/>
    <x v="1"/>
    <d v="2024-04-01T00:00:00"/>
    <x v="0"/>
    <n v="5"/>
    <x v="0"/>
    <x v="1"/>
    <x v="1"/>
    <s v="No"/>
    <n v="0"/>
    <n v="0"/>
    <n v="5"/>
  </r>
  <r>
    <n v="3267"/>
    <s v="Bruno Cavalheiro"/>
    <x v="0"/>
    <d v="2024-04-02T00:00:00"/>
    <x v="1"/>
    <n v="15"/>
    <x v="2"/>
    <x v="0"/>
    <x v="0"/>
    <s v="Yes"/>
    <n v="20"/>
    <n v="7"/>
    <n v="58"/>
  </r>
  <r>
    <n v="3268"/>
    <s v="Carla Dias"/>
    <x v="2"/>
    <d v="2024-04-03T00:00:00"/>
    <x v="0"/>
    <n v="10"/>
    <x v="1"/>
    <x v="1"/>
    <x v="1"/>
    <s v="Yes"/>
    <n v="20"/>
    <n v="10"/>
    <n v="20"/>
  </r>
  <r>
    <n v="3269"/>
    <s v="Diego Fontes"/>
    <x v="1"/>
    <d v="2024-04-04T00:00:00"/>
    <x v="1"/>
    <n v="5"/>
    <x v="2"/>
    <x v="1"/>
    <x v="1"/>
    <s v="No"/>
    <n v="0"/>
    <n v="1"/>
    <n v="4"/>
  </r>
  <r>
    <n v="3270"/>
    <s v="Eunice Lima"/>
    <x v="0"/>
    <d v="2024-04-05T00:00:00"/>
    <x v="0"/>
    <n v="15"/>
    <x v="0"/>
    <x v="0"/>
    <x v="0"/>
    <s v="Yes"/>
    <n v="20"/>
    <n v="15"/>
    <n v="50"/>
  </r>
  <r>
    <n v="3271"/>
    <s v="Fábio Martins"/>
    <x v="2"/>
    <d v="2024-04-06T00:00:00"/>
    <x v="1"/>
    <n v="10"/>
    <x v="0"/>
    <x v="1"/>
    <x v="1"/>
    <s v="Yes"/>
    <n v="20"/>
    <n v="5"/>
    <n v="25"/>
  </r>
  <r>
    <n v="3272"/>
    <s v="Gisele Araújo"/>
    <x v="1"/>
    <d v="2024-04-07T00:00:00"/>
    <x v="0"/>
    <n v="5"/>
    <x v="1"/>
    <x v="1"/>
    <x v="1"/>
    <s v="No"/>
    <n v="0"/>
    <n v="0"/>
    <n v="5"/>
  </r>
  <r>
    <n v="3273"/>
    <s v="Hélio Castro"/>
    <x v="0"/>
    <d v="2024-04-08T00:00:00"/>
    <x v="1"/>
    <n v="15"/>
    <x v="2"/>
    <x v="0"/>
    <x v="0"/>
    <s v="Yes"/>
    <n v="20"/>
    <n v="20"/>
    <n v="45"/>
  </r>
  <r>
    <n v="3274"/>
    <s v="Ingrid Menezes"/>
    <x v="2"/>
    <d v="2024-04-09T00:00:00"/>
    <x v="0"/>
    <n v="10"/>
    <x v="2"/>
    <x v="1"/>
    <x v="1"/>
    <s v="Yes"/>
    <n v="20"/>
    <n v="12"/>
    <n v="18"/>
  </r>
  <r>
    <n v="3275"/>
    <s v="Jorge Baptista"/>
    <x v="1"/>
    <d v="2024-04-10T00:00:00"/>
    <x v="1"/>
    <n v="5"/>
    <x v="0"/>
    <x v="1"/>
    <x v="1"/>
    <s v="No"/>
    <n v="0"/>
    <n v="2"/>
    <n v="3"/>
  </r>
  <r>
    <n v="3276"/>
    <s v="Kléber Oliveira"/>
    <x v="0"/>
    <d v="2024-04-11T00:00:00"/>
    <x v="0"/>
    <n v="15"/>
    <x v="1"/>
    <x v="0"/>
    <x v="0"/>
    <s v="Yes"/>
    <n v="20"/>
    <n v="5"/>
    <n v="60"/>
  </r>
  <r>
    <n v="3277"/>
    <s v="Luciana Freitas"/>
    <x v="2"/>
    <d v="2024-04-12T00:00:00"/>
    <x v="1"/>
    <n v="10"/>
    <x v="0"/>
    <x v="1"/>
    <x v="1"/>
    <s v="Yes"/>
    <n v="20"/>
    <n v="10"/>
    <n v="20"/>
  </r>
  <r>
    <n v="3278"/>
    <s v="Márcia Eller"/>
    <x v="1"/>
    <d v="2024-04-13T00:00:00"/>
    <x v="0"/>
    <n v="5"/>
    <x v="2"/>
    <x v="1"/>
    <x v="1"/>
    <s v="No"/>
    <n v="0"/>
    <n v="0"/>
    <n v="5"/>
  </r>
  <r>
    <n v="3279"/>
    <s v="Nilo Peçanha"/>
    <x v="0"/>
    <d v="2024-04-14T00:00:00"/>
    <x v="1"/>
    <n v="15"/>
    <x v="0"/>
    <x v="0"/>
    <x v="0"/>
    <s v="Yes"/>
    <n v="20"/>
    <n v="3"/>
    <n v="62"/>
  </r>
  <r>
    <n v="3280"/>
    <s v="Oscar Neves"/>
    <x v="2"/>
    <d v="2024-04-15T00:00:00"/>
    <x v="0"/>
    <n v="10"/>
    <x v="1"/>
    <x v="1"/>
    <x v="1"/>
    <s v="Yes"/>
    <n v="20"/>
    <n v="15"/>
    <n v="15"/>
  </r>
  <r>
    <n v="3281"/>
    <s v="Patrícia Soares"/>
    <x v="1"/>
    <d v="2024-04-16T00:00:00"/>
    <x v="1"/>
    <n v="5"/>
    <x v="0"/>
    <x v="1"/>
    <x v="1"/>
    <s v="No"/>
    <n v="0"/>
    <n v="1"/>
    <n v="4"/>
  </r>
  <r>
    <n v="3282"/>
    <s v="Quirino Gonçalves"/>
    <x v="0"/>
    <d v="2024-04-17T00:00:00"/>
    <x v="0"/>
    <n v="15"/>
    <x v="2"/>
    <x v="0"/>
    <x v="0"/>
    <s v="Yes"/>
    <n v="20"/>
    <n v="7"/>
    <n v="58"/>
  </r>
  <r>
    <n v="3283"/>
    <s v="Raul Machado"/>
    <x v="2"/>
    <d v="2024-04-18T00:00:00"/>
    <x v="1"/>
    <n v="10"/>
    <x v="0"/>
    <x v="1"/>
    <x v="1"/>
    <s v="Yes"/>
    <n v="20"/>
    <n v="10"/>
    <n v="20"/>
  </r>
  <r>
    <n v="3284"/>
    <s v="Sônia Lobo"/>
    <x v="1"/>
    <d v="2024-04-19T00:00:00"/>
    <x v="0"/>
    <n v="5"/>
    <x v="1"/>
    <x v="1"/>
    <x v="1"/>
    <s v="No"/>
    <n v="0"/>
    <n v="0"/>
    <n v="5"/>
  </r>
  <r>
    <n v="3285"/>
    <s v="Tiago Ramos"/>
    <x v="0"/>
    <d v="2024-04-20T00:00:00"/>
    <x v="1"/>
    <n v="15"/>
    <x v="0"/>
    <x v="0"/>
    <x v="0"/>
    <s v="Yes"/>
    <n v="20"/>
    <n v="20"/>
    <n v="45"/>
  </r>
  <r>
    <n v="3286"/>
    <s v="Ugo Pires"/>
    <x v="2"/>
    <d v="2024-04-21T00:00:00"/>
    <x v="0"/>
    <n v="10"/>
    <x v="2"/>
    <x v="1"/>
    <x v="1"/>
    <s v="Yes"/>
    <n v="20"/>
    <n v="15"/>
    <n v="15"/>
  </r>
  <r>
    <n v="3287"/>
    <s v="Valéria Nobre"/>
    <x v="1"/>
    <d v="2024-04-22T00:00:00"/>
    <x v="1"/>
    <n v="5"/>
    <x v="0"/>
    <x v="1"/>
    <x v="1"/>
    <s v="No"/>
    <n v="0"/>
    <n v="1"/>
    <n v="4"/>
  </r>
  <r>
    <n v="3288"/>
    <s v="William Siqueira"/>
    <x v="0"/>
    <d v="2024-04-23T00:00:00"/>
    <x v="0"/>
    <n v="15"/>
    <x v="1"/>
    <x v="0"/>
    <x v="0"/>
    <s v="Yes"/>
    <n v="20"/>
    <n v="3"/>
    <n v="62"/>
  </r>
  <r>
    <n v="3289"/>
    <s v="Xuxa Meneghel"/>
    <x v="2"/>
    <d v="2024-04-24T00:00:00"/>
    <x v="1"/>
    <n v="10"/>
    <x v="0"/>
    <x v="1"/>
    <x v="1"/>
    <s v="Yes"/>
    <n v="20"/>
    <n v="10"/>
    <n v="20"/>
  </r>
  <r>
    <n v="3290"/>
    <s v="Yara Figueiredo"/>
    <x v="1"/>
    <d v="2024-04-25T00:00:00"/>
    <x v="0"/>
    <n v="5"/>
    <x v="2"/>
    <x v="1"/>
    <x v="1"/>
    <s v="No"/>
    <n v="0"/>
    <n v="0"/>
    <n v="5"/>
  </r>
  <r>
    <n v="3291"/>
    <s v="Zacarias Alves"/>
    <x v="0"/>
    <d v="2024-04-26T00:00:00"/>
    <x v="1"/>
    <n v="15"/>
    <x v="0"/>
    <x v="0"/>
    <x v="0"/>
    <s v="Yes"/>
    <n v="20"/>
    <n v="5"/>
    <n v="60"/>
  </r>
  <r>
    <n v="3292"/>
    <s v="Amanda Bynes"/>
    <x v="2"/>
    <d v="2024-04-27T00:00:00"/>
    <x v="0"/>
    <n v="10"/>
    <x v="1"/>
    <x v="1"/>
    <x v="1"/>
    <s v="Yes"/>
    <n v="20"/>
    <n v="15"/>
    <n v="15"/>
  </r>
  <r>
    <n v="3293"/>
    <s v="Bruno Mars"/>
    <x v="1"/>
    <d v="2024-04-28T00:00:00"/>
    <x v="1"/>
    <n v="5"/>
    <x v="0"/>
    <x v="1"/>
    <x v="1"/>
    <s v="No"/>
    <n v="0"/>
    <n v="1"/>
    <n v="4"/>
  </r>
  <r>
    <n v="3294"/>
    <s v="Carla Bruni"/>
    <x v="0"/>
    <d v="2024-04-29T00:00:00"/>
    <x v="0"/>
    <n v="15"/>
    <x v="2"/>
    <x v="0"/>
    <x v="0"/>
    <s v="Yes"/>
    <n v="20"/>
    <n v="20"/>
    <n v="45"/>
  </r>
  <r>
    <n v="3295"/>
    <s v="Diego Maradona"/>
    <x v="2"/>
    <d v="2024-04-30T00:00:00"/>
    <x v="1"/>
    <n v="10"/>
    <x v="0"/>
    <x v="1"/>
    <x v="1"/>
    <s v="Yes"/>
    <n v="20"/>
    <n v="5"/>
    <n v="25"/>
  </r>
  <r>
    <n v="3296"/>
    <s v="Estela Marques"/>
    <x v="1"/>
    <d v="2024-05-01T00:00:00"/>
    <x v="1"/>
    <n v="5"/>
    <x v="0"/>
    <x v="1"/>
    <x v="1"/>
    <s v="No"/>
    <n v="0"/>
    <n v="0"/>
    <n v="5"/>
  </r>
  <r>
    <n v="3297"/>
    <s v="Fábio Nobre"/>
    <x v="0"/>
    <d v="2024-05-02T00:00:00"/>
    <x v="0"/>
    <n v="15"/>
    <x v="2"/>
    <x v="0"/>
    <x v="0"/>
    <s v="Yes"/>
    <n v="20"/>
    <n v="7"/>
    <n v="58"/>
  </r>
  <r>
    <n v="3298"/>
    <s v="Gabriel Oliveira"/>
    <x v="2"/>
    <d v="2024-05-03T00:00:00"/>
    <x v="1"/>
    <n v="10"/>
    <x v="1"/>
    <x v="1"/>
    <x v="1"/>
    <s v="Yes"/>
    <n v="20"/>
    <n v="10"/>
    <n v="20"/>
  </r>
  <r>
    <n v="3299"/>
    <s v="Helena Santos"/>
    <x v="1"/>
    <d v="2024-05-04T00:00:00"/>
    <x v="0"/>
    <n v="5"/>
    <x v="2"/>
    <x v="1"/>
    <x v="1"/>
    <s v="No"/>
    <n v="0"/>
    <n v="1"/>
    <n v="4"/>
  </r>
  <r>
    <n v="3300"/>
    <s v="Ivan Carvalho"/>
    <x v="0"/>
    <d v="2024-05-05T00:00:00"/>
    <x v="1"/>
    <n v="15"/>
    <x v="0"/>
    <x v="0"/>
    <x v="0"/>
    <s v="Yes"/>
    <n v="20"/>
    <n v="15"/>
    <n v="50"/>
  </r>
  <r>
    <n v="3301"/>
    <s v="Júlia Ferreira"/>
    <x v="2"/>
    <d v="2024-05-06T00:00:00"/>
    <x v="0"/>
    <n v="10"/>
    <x v="0"/>
    <x v="1"/>
    <x v="1"/>
    <s v="Yes"/>
    <n v="20"/>
    <n v="5"/>
    <n v="25"/>
  </r>
  <r>
    <n v="3302"/>
    <s v="Karla Alves"/>
    <x v="1"/>
    <d v="2024-05-07T00:00:00"/>
    <x v="1"/>
    <n v="5"/>
    <x v="1"/>
    <x v="1"/>
    <x v="1"/>
    <s v="No"/>
    <n v="0"/>
    <n v="0"/>
    <n v="5"/>
  </r>
  <r>
    <n v="3303"/>
    <s v="Lucas Mendes"/>
    <x v="0"/>
    <d v="2024-05-08T00:00:00"/>
    <x v="0"/>
    <n v="15"/>
    <x v="2"/>
    <x v="0"/>
    <x v="0"/>
    <s v="Yes"/>
    <n v="20"/>
    <n v="20"/>
    <n v="45"/>
  </r>
  <r>
    <n v="3304"/>
    <s v="Mônica Gomes"/>
    <x v="2"/>
    <d v="2024-05-09T00:00:00"/>
    <x v="1"/>
    <n v="10"/>
    <x v="2"/>
    <x v="1"/>
    <x v="1"/>
    <s v="Yes"/>
    <n v="20"/>
    <n v="12"/>
    <n v="18"/>
  </r>
  <r>
    <n v="3305"/>
    <s v="Norberto Queiroz"/>
    <x v="1"/>
    <d v="2024-05-10T00:00:00"/>
    <x v="0"/>
    <n v="5"/>
    <x v="0"/>
    <x v="1"/>
    <x v="1"/>
    <s v="No"/>
    <n v="0"/>
    <n v="2"/>
    <n v="3"/>
  </r>
  <r>
    <n v="3306"/>
    <s v="Otávio Barros"/>
    <x v="0"/>
    <d v="2024-05-11T00:00:00"/>
    <x v="1"/>
    <n v="15"/>
    <x v="1"/>
    <x v="0"/>
    <x v="0"/>
    <s v="Yes"/>
    <n v="20"/>
    <n v="5"/>
    <n v="60"/>
  </r>
  <r>
    <n v="3307"/>
    <s v="Paula Vieira"/>
    <x v="2"/>
    <d v="2024-05-12T00:00:00"/>
    <x v="0"/>
    <n v="10"/>
    <x v="0"/>
    <x v="1"/>
    <x v="1"/>
    <s v="Yes"/>
    <n v="20"/>
    <n v="10"/>
    <n v="20"/>
  </r>
  <r>
    <n v="3308"/>
    <s v="Quentin Ramos"/>
    <x v="1"/>
    <d v="2024-05-13T00:00:00"/>
    <x v="1"/>
    <n v="5"/>
    <x v="2"/>
    <x v="1"/>
    <x v="1"/>
    <s v="No"/>
    <n v="0"/>
    <n v="0"/>
    <n v="5"/>
  </r>
  <r>
    <n v="3309"/>
    <s v="Raquel Novaes"/>
    <x v="0"/>
    <d v="2024-05-14T00:00:00"/>
    <x v="0"/>
    <n v="15"/>
    <x v="0"/>
    <x v="0"/>
    <x v="0"/>
    <s v="Yes"/>
    <n v="20"/>
    <n v="3"/>
    <n v="62"/>
  </r>
  <r>
    <n v="3310"/>
    <s v="Samantha Lopes"/>
    <x v="2"/>
    <d v="2024-05-15T00:00:00"/>
    <x v="1"/>
    <n v="10"/>
    <x v="1"/>
    <x v="1"/>
    <x v="1"/>
    <s v="Yes"/>
    <n v="20"/>
    <n v="15"/>
    <n v="15"/>
  </r>
  <r>
    <n v="3311"/>
    <s v="Tiago Martins"/>
    <x v="1"/>
    <d v="2024-05-16T00:00:00"/>
    <x v="0"/>
    <n v="5"/>
    <x v="0"/>
    <x v="1"/>
    <x v="1"/>
    <s v="No"/>
    <n v="0"/>
    <n v="1"/>
    <n v="4"/>
  </r>
  <r>
    <n v="3312"/>
    <s v="Ulysses Guimarães"/>
    <x v="0"/>
    <d v="2024-05-17T00:00:00"/>
    <x v="1"/>
    <n v="15"/>
    <x v="2"/>
    <x v="0"/>
    <x v="0"/>
    <s v="Yes"/>
    <n v="20"/>
    <n v="7"/>
    <n v="58"/>
  </r>
  <r>
    <n v="3313"/>
    <s v="Vanessa Silva"/>
    <x v="2"/>
    <d v="2024-05-18T00:00:00"/>
    <x v="0"/>
    <n v="10"/>
    <x v="0"/>
    <x v="1"/>
    <x v="1"/>
    <s v="Yes"/>
    <n v="20"/>
    <n v="10"/>
    <n v="20"/>
  </r>
  <r>
    <n v="3314"/>
    <s v="William Carneiro"/>
    <x v="1"/>
    <d v="2024-05-19T00:00:00"/>
    <x v="1"/>
    <n v="5"/>
    <x v="1"/>
    <x v="1"/>
    <x v="1"/>
    <s v="No"/>
    <n v="0"/>
    <n v="0"/>
    <n v="5"/>
  </r>
  <r>
    <n v="3315"/>
    <s v="Ximena Rocha"/>
    <x v="0"/>
    <d v="2024-05-20T00:00:00"/>
    <x v="0"/>
    <n v="15"/>
    <x v="0"/>
    <x v="0"/>
    <x v="0"/>
    <s v="Yes"/>
    <n v="20"/>
    <n v="20"/>
    <n v="45"/>
  </r>
  <r>
    <n v="3316"/>
    <s v="Yasmin Figueiredo"/>
    <x v="2"/>
    <d v="2024-05-21T00:00:00"/>
    <x v="1"/>
    <n v="10"/>
    <x v="2"/>
    <x v="1"/>
    <x v="1"/>
    <s v="Yes"/>
    <n v="20"/>
    <n v="15"/>
    <n v="15"/>
  </r>
  <r>
    <n v="3317"/>
    <s v="Zara Cunha"/>
    <x v="1"/>
    <d v="2024-05-22T00:00:00"/>
    <x v="0"/>
    <n v="5"/>
    <x v="0"/>
    <x v="1"/>
    <x v="1"/>
    <s v="No"/>
    <n v="0"/>
    <n v="1"/>
    <n v="4"/>
  </r>
  <r>
    <n v="3318"/>
    <s v="Alan Teixeira"/>
    <x v="0"/>
    <d v="2024-05-23T00:00:00"/>
    <x v="1"/>
    <n v="15"/>
    <x v="1"/>
    <x v="0"/>
    <x v="0"/>
    <s v="Yes"/>
    <n v="20"/>
    <n v="3"/>
    <n v="62"/>
  </r>
  <r>
    <n v="3319"/>
    <s v="Bárbara Oliveira"/>
    <x v="2"/>
    <d v="2024-05-24T00:00:00"/>
    <x v="0"/>
    <n v="10"/>
    <x v="0"/>
    <x v="1"/>
    <x v="1"/>
    <s v="Yes"/>
    <n v="20"/>
    <n v="10"/>
    <n v="20"/>
  </r>
  <r>
    <n v="3320"/>
    <s v="Carlos Junqueira"/>
    <x v="1"/>
    <d v="2024-05-25T00:00:00"/>
    <x v="1"/>
    <n v="5"/>
    <x v="2"/>
    <x v="1"/>
    <x v="1"/>
    <s v="No"/>
    <n v="0"/>
    <n v="0"/>
    <n v="5"/>
  </r>
  <r>
    <n v="3321"/>
    <s v="Daniela Moura"/>
    <x v="0"/>
    <d v="2024-05-26T00:00:00"/>
    <x v="0"/>
    <n v="15"/>
    <x v="0"/>
    <x v="0"/>
    <x v="0"/>
    <s v="Yes"/>
    <n v="20"/>
    <n v="5"/>
    <n v="60"/>
  </r>
  <r>
    <n v="3322"/>
    <s v="Eduardo Lima"/>
    <x v="2"/>
    <d v="2024-05-27T00:00:00"/>
    <x v="1"/>
    <n v="10"/>
    <x v="1"/>
    <x v="1"/>
    <x v="1"/>
    <s v="Yes"/>
    <n v="20"/>
    <n v="15"/>
    <n v="15"/>
  </r>
  <r>
    <n v="3323"/>
    <s v="Fabiana Araújo"/>
    <x v="1"/>
    <d v="2024-05-28T00:00:00"/>
    <x v="0"/>
    <n v="5"/>
    <x v="0"/>
    <x v="1"/>
    <x v="1"/>
    <s v="No"/>
    <n v="0"/>
    <n v="1"/>
    <n v="4"/>
  </r>
  <r>
    <n v="3324"/>
    <s v="Geraldo Ribeiro"/>
    <x v="0"/>
    <d v="2024-05-29T00:00:00"/>
    <x v="1"/>
    <n v="15"/>
    <x v="2"/>
    <x v="0"/>
    <x v="0"/>
    <s v="Yes"/>
    <n v="20"/>
    <n v="20"/>
    <n v="45"/>
  </r>
  <r>
    <n v="3325"/>
    <s v="Héctor Vargas"/>
    <x v="2"/>
    <d v="2024-05-30T00:00:00"/>
    <x v="0"/>
    <n v="10"/>
    <x v="2"/>
    <x v="1"/>
    <x v="1"/>
    <s v="Yes"/>
    <n v="20"/>
    <n v="15"/>
    <n v="15"/>
  </r>
  <r>
    <n v="3326"/>
    <s v="Isabela Fonseca"/>
    <x v="1"/>
    <d v="2024-05-31T00:00:00"/>
    <x v="1"/>
    <n v="5"/>
    <x v="1"/>
    <x v="1"/>
    <x v="1"/>
    <s v="No"/>
    <n v="0"/>
    <n v="0"/>
    <n v="5"/>
  </r>
  <r>
    <n v="3327"/>
    <s v="João Pedro Almeida"/>
    <x v="0"/>
    <d v="2024-06-01T00:00:00"/>
    <x v="0"/>
    <n v="15"/>
    <x v="0"/>
    <x v="0"/>
    <x v="0"/>
    <s v="Yes"/>
    <n v="20"/>
    <n v="7"/>
    <n v="58"/>
  </r>
  <r>
    <n v="3328"/>
    <s v="Klara Costa"/>
    <x v="2"/>
    <d v="2024-06-02T00:00:00"/>
    <x v="1"/>
    <n v="10"/>
    <x v="1"/>
    <x v="1"/>
    <x v="1"/>
    <s v="Yes"/>
    <n v="20"/>
    <n v="10"/>
    <n v="20"/>
  </r>
  <r>
    <n v="3329"/>
    <s v="Luciana Mendes"/>
    <x v="1"/>
    <d v="2024-06-03T00:00:00"/>
    <x v="0"/>
    <n v="5"/>
    <x v="2"/>
    <x v="1"/>
    <x v="1"/>
    <s v="No"/>
    <n v="0"/>
    <n v="1"/>
    <n v="4"/>
  </r>
  <r>
    <n v="3330"/>
    <s v="Marcelo Gouveia"/>
    <x v="0"/>
    <d v="2024-06-04T00:00:00"/>
    <x v="1"/>
    <n v="15"/>
    <x v="0"/>
    <x v="0"/>
    <x v="0"/>
    <s v="Yes"/>
    <n v="20"/>
    <n v="15"/>
    <n v="50"/>
  </r>
  <r>
    <n v="3331"/>
    <s v="Nívea Borges"/>
    <x v="2"/>
    <d v="2024-06-05T00:00:00"/>
    <x v="0"/>
    <n v="10"/>
    <x v="0"/>
    <x v="1"/>
    <x v="1"/>
    <s v="Yes"/>
    <n v="20"/>
    <n v="5"/>
    <n v="25"/>
  </r>
  <r>
    <n v="3332"/>
    <s v="Oscar Nogueira"/>
    <x v="1"/>
    <d v="2024-06-06T00:00:00"/>
    <x v="1"/>
    <n v="5"/>
    <x v="1"/>
    <x v="1"/>
    <x v="1"/>
    <s v="No"/>
    <n v="0"/>
    <n v="0"/>
    <n v="5"/>
  </r>
  <r>
    <n v="3333"/>
    <s v="Patrícia Alves"/>
    <x v="0"/>
    <d v="2024-06-07T00:00:00"/>
    <x v="0"/>
    <n v="15"/>
    <x v="2"/>
    <x v="0"/>
    <x v="0"/>
    <s v="Yes"/>
    <n v="20"/>
    <n v="20"/>
    <n v="45"/>
  </r>
  <r>
    <n v="3334"/>
    <s v="Rafaela Silva"/>
    <x v="2"/>
    <d v="2024-06-08T00:00:00"/>
    <x v="1"/>
    <n v="10"/>
    <x v="2"/>
    <x v="1"/>
    <x v="1"/>
    <s v="Yes"/>
    <n v="20"/>
    <n v="12"/>
    <n v="18"/>
  </r>
  <r>
    <n v="3335"/>
    <s v="Samantha Moraes"/>
    <x v="1"/>
    <d v="2024-06-09T00:00:00"/>
    <x v="0"/>
    <n v="5"/>
    <x v="0"/>
    <x v="1"/>
    <x v="1"/>
    <s v="No"/>
    <n v="0"/>
    <n v="2"/>
    <n v="3"/>
  </r>
  <r>
    <n v="3336"/>
    <s v="Tatiana Rocha"/>
    <x v="1"/>
    <d v="2024-06-10T00:00:00"/>
    <x v="0"/>
    <n v="5"/>
    <x v="0"/>
    <x v="1"/>
    <x v="1"/>
    <s v="No"/>
    <n v="0"/>
    <n v="0"/>
    <n v="5"/>
  </r>
  <r>
    <n v="3337"/>
    <s v="Ulisses Tavares"/>
    <x v="0"/>
    <d v="2024-06-11T00:00:00"/>
    <x v="1"/>
    <n v="15"/>
    <x v="2"/>
    <x v="0"/>
    <x v="0"/>
    <s v="Yes"/>
    <n v="20"/>
    <n v="7"/>
    <n v="58"/>
  </r>
  <r>
    <n v="3338"/>
    <s v="Víctor Lemos"/>
    <x v="2"/>
    <d v="2024-06-12T00:00:00"/>
    <x v="0"/>
    <n v="10"/>
    <x v="1"/>
    <x v="1"/>
    <x v="1"/>
    <s v="Yes"/>
    <n v="20"/>
    <n v="10"/>
    <n v="20"/>
  </r>
  <r>
    <n v="3339"/>
    <s v="Wilma Barros"/>
    <x v="1"/>
    <d v="2024-06-13T00:00:00"/>
    <x v="1"/>
    <n v="5"/>
    <x v="2"/>
    <x v="1"/>
    <x v="1"/>
    <s v="No"/>
    <n v="0"/>
    <n v="1"/>
    <n v="4"/>
  </r>
  <r>
    <n v="3340"/>
    <s v="Xavier Nascimento"/>
    <x v="0"/>
    <d v="2024-06-14T00:00:00"/>
    <x v="0"/>
    <n v="15"/>
    <x v="0"/>
    <x v="0"/>
    <x v="0"/>
    <s v="Yes"/>
    <n v="20"/>
    <n v="15"/>
    <n v="50"/>
  </r>
  <r>
    <n v="3341"/>
    <s v="Yago Pereira"/>
    <x v="2"/>
    <d v="2024-06-15T00:00:00"/>
    <x v="1"/>
    <n v="10"/>
    <x v="0"/>
    <x v="1"/>
    <x v="1"/>
    <s v="Yes"/>
    <n v="20"/>
    <n v="5"/>
    <n v="25"/>
  </r>
  <r>
    <n v="3342"/>
    <s v="Zilda Ferreira"/>
    <x v="1"/>
    <d v="2024-06-16T00:00:00"/>
    <x v="0"/>
    <n v="5"/>
    <x v="1"/>
    <x v="1"/>
    <x v="1"/>
    <s v="No"/>
    <n v="0"/>
    <n v="0"/>
    <n v="5"/>
  </r>
  <r>
    <n v="3343"/>
    <s v="Amanda Lopes"/>
    <x v="0"/>
    <d v="2024-06-17T00:00:00"/>
    <x v="1"/>
    <n v="15"/>
    <x v="2"/>
    <x v="0"/>
    <x v="0"/>
    <s v="Yes"/>
    <n v="20"/>
    <n v="20"/>
    <n v="45"/>
  </r>
  <r>
    <n v="3344"/>
    <s v="Bruno Miranda"/>
    <x v="2"/>
    <d v="2024-06-18T00:00:00"/>
    <x v="0"/>
    <n v="10"/>
    <x v="2"/>
    <x v="1"/>
    <x v="1"/>
    <s v="Yes"/>
    <n v="20"/>
    <n v="12"/>
    <n v="18"/>
  </r>
  <r>
    <n v="3345"/>
    <s v="Célia Torres"/>
    <x v="1"/>
    <d v="2024-06-19T00:00:00"/>
    <x v="1"/>
    <n v="5"/>
    <x v="0"/>
    <x v="1"/>
    <x v="1"/>
    <s v="No"/>
    <n v="0"/>
    <n v="2"/>
    <n v="3"/>
  </r>
  <r>
    <n v="3346"/>
    <s v="Diogo Souza"/>
    <x v="0"/>
    <d v="2024-06-20T00:00:00"/>
    <x v="0"/>
    <n v="15"/>
    <x v="1"/>
    <x v="0"/>
    <x v="0"/>
    <s v="Yes"/>
    <n v="20"/>
    <n v="5"/>
    <n v="60"/>
  </r>
  <r>
    <n v="3347"/>
    <s v="Elisa Castro"/>
    <x v="2"/>
    <d v="2024-06-21T00:00:00"/>
    <x v="1"/>
    <n v="10"/>
    <x v="0"/>
    <x v="1"/>
    <x v="1"/>
    <s v="Yes"/>
    <n v="20"/>
    <n v="10"/>
    <n v="20"/>
  </r>
  <r>
    <n v="3348"/>
    <s v="Fátima Lima"/>
    <x v="1"/>
    <d v="2024-06-22T00:00:00"/>
    <x v="0"/>
    <n v="5"/>
    <x v="2"/>
    <x v="1"/>
    <x v="1"/>
    <s v="No"/>
    <n v="0"/>
    <n v="0"/>
    <n v="5"/>
  </r>
  <r>
    <n v="3349"/>
    <s v="Geraldo Ribeiro"/>
    <x v="0"/>
    <d v="2024-06-23T00:00:00"/>
    <x v="1"/>
    <n v="15"/>
    <x v="0"/>
    <x v="0"/>
    <x v="0"/>
    <s v="Yes"/>
    <n v="20"/>
    <n v="3"/>
    <n v="62"/>
  </r>
  <r>
    <n v="3350"/>
    <s v="Hélio Martins"/>
    <x v="2"/>
    <d v="2024-06-24T00:00:00"/>
    <x v="0"/>
    <n v="10"/>
    <x v="1"/>
    <x v="1"/>
    <x v="1"/>
    <s v="Yes"/>
    <n v="20"/>
    <n v="15"/>
    <n v="15"/>
  </r>
  <r>
    <n v="3351"/>
    <s v="Íris Santos"/>
    <x v="1"/>
    <d v="2024-06-25T00:00:00"/>
    <x v="1"/>
    <n v="5"/>
    <x v="0"/>
    <x v="1"/>
    <x v="1"/>
    <s v="No"/>
    <n v="0"/>
    <n v="1"/>
    <n v="4"/>
  </r>
  <r>
    <n v="3352"/>
    <s v="João Marcelo"/>
    <x v="0"/>
    <d v="2024-06-26T00:00:00"/>
    <x v="0"/>
    <n v="15"/>
    <x v="2"/>
    <x v="0"/>
    <x v="0"/>
    <s v="Yes"/>
    <n v="20"/>
    <n v="7"/>
    <n v="58"/>
  </r>
  <r>
    <n v="3353"/>
    <s v="Larissa Gomes"/>
    <x v="2"/>
    <d v="2024-06-27T00:00:00"/>
    <x v="1"/>
    <n v="10"/>
    <x v="0"/>
    <x v="1"/>
    <x v="1"/>
    <s v="Yes"/>
    <n v="20"/>
    <n v="10"/>
    <n v="20"/>
  </r>
  <r>
    <n v="3354"/>
    <s v="Márcio Silva"/>
    <x v="1"/>
    <d v="2024-06-28T00:00:00"/>
    <x v="0"/>
    <n v="5"/>
    <x v="1"/>
    <x v="1"/>
    <x v="1"/>
    <s v="No"/>
    <n v="0"/>
    <n v="0"/>
    <n v="5"/>
  </r>
  <r>
    <n v="3355"/>
    <s v="Nadia Costa"/>
    <x v="0"/>
    <d v="2024-06-29T00:00:00"/>
    <x v="1"/>
    <n v="15"/>
    <x v="0"/>
    <x v="0"/>
    <x v="0"/>
    <s v="Yes"/>
    <n v="20"/>
    <n v="20"/>
    <n v="45"/>
  </r>
  <r>
    <n v="3356"/>
    <s v="Oscar Almeida"/>
    <x v="2"/>
    <d v="2024-06-30T00:00:00"/>
    <x v="0"/>
    <n v="10"/>
    <x v="2"/>
    <x v="1"/>
    <x v="1"/>
    <s v="Yes"/>
    <n v="20"/>
    <n v="15"/>
    <n v="15"/>
  </r>
  <r>
    <n v="3357"/>
    <s v="Patricia Soares"/>
    <x v="1"/>
    <d v="2024-07-01T00:00:00"/>
    <x v="1"/>
    <n v="5"/>
    <x v="0"/>
    <x v="1"/>
    <x v="1"/>
    <s v="No"/>
    <n v="0"/>
    <n v="1"/>
    <n v="4"/>
  </r>
  <r>
    <n v="3358"/>
    <s v="Quênia Barros"/>
    <x v="0"/>
    <d v="2024-07-02T00:00:00"/>
    <x v="0"/>
    <n v="15"/>
    <x v="1"/>
    <x v="0"/>
    <x v="0"/>
    <s v="Yes"/>
    <n v="20"/>
    <n v="3"/>
    <n v="62"/>
  </r>
  <r>
    <n v="3359"/>
    <s v="Rafael Torres"/>
    <x v="2"/>
    <d v="2024-07-03T00:00:00"/>
    <x v="1"/>
    <n v="10"/>
    <x v="0"/>
    <x v="1"/>
    <x v="1"/>
    <s v="Yes"/>
    <n v="20"/>
    <n v="10"/>
    <n v="20"/>
  </r>
  <r>
    <n v="3360"/>
    <s v="Silvia Nascimento"/>
    <x v="1"/>
    <d v="2024-07-04T00:00:00"/>
    <x v="0"/>
    <n v="5"/>
    <x v="2"/>
    <x v="1"/>
    <x v="1"/>
    <s v="No"/>
    <n v="0"/>
    <n v="0"/>
    <n v="5"/>
  </r>
  <r>
    <n v="3361"/>
    <s v="Tiago Mendes"/>
    <x v="0"/>
    <d v="2024-07-05T00:00:00"/>
    <x v="1"/>
    <n v="15"/>
    <x v="0"/>
    <x v="0"/>
    <x v="0"/>
    <s v="Yes"/>
    <n v="20"/>
    <n v="15"/>
    <n v="50"/>
  </r>
  <r>
    <n v="3362"/>
    <s v="Ursula Silva"/>
    <x v="2"/>
    <d v="2024-07-06T00:00:00"/>
    <x v="0"/>
    <n v="10"/>
    <x v="1"/>
    <x v="1"/>
    <x v="1"/>
    <s v="Yes"/>
    <n v="20"/>
    <n v="15"/>
    <n v="15"/>
  </r>
  <r>
    <n v="3363"/>
    <s v="Vanessa Moraes"/>
    <x v="1"/>
    <d v="2024-07-07T00:00:00"/>
    <x v="1"/>
    <n v="5"/>
    <x v="0"/>
    <x v="1"/>
    <x v="1"/>
    <s v="No"/>
    <n v="0"/>
    <n v="1"/>
    <n v="4"/>
  </r>
  <r>
    <n v="3364"/>
    <s v="Waldir Junior"/>
    <x v="0"/>
    <d v="2024-07-08T00:00:00"/>
    <x v="0"/>
    <n v="15"/>
    <x v="2"/>
    <x v="0"/>
    <x v="0"/>
    <s v="Yes"/>
    <n v="20"/>
    <n v="7"/>
    <n v="58"/>
  </r>
  <r>
    <n v="3365"/>
    <s v="Xavier Lopes"/>
    <x v="2"/>
    <d v="2024-07-09T00:00:00"/>
    <x v="1"/>
    <n v="10"/>
    <x v="0"/>
    <x v="1"/>
    <x v="1"/>
    <s v="Yes"/>
    <n v="20"/>
    <n v="10"/>
    <n v="20"/>
  </r>
  <r>
    <n v="3366"/>
    <s v="Yolanda Freitas"/>
    <x v="1"/>
    <d v="2024-07-10T00:00:00"/>
    <x v="0"/>
    <n v="5"/>
    <x v="0"/>
    <x v="1"/>
    <x v="1"/>
    <s v="No"/>
    <n v="0"/>
    <n v="0"/>
    <n v="5"/>
  </r>
  <r>
    <n v="3367"/>
    <s v="Zacarias Nunes"/>
    <x v="0"/>
    <d v="2024-07-11T00:00:00"/>
    <x v="1"/>
    <n v="15"/>
    <x v="2"/>
    <x v="0"/>
    <x v="0"/>
    <s v="Yes"/>
    <n v="20"/>
    <n v="7"/>
    <n v="58"/>
  </r>
  <r>
    <n v="3368"/>
    <s v="Ana Clara Barreto"/>
    <x v="2"/>
    <d v="2024-07-12T00:00:00"/>
    <x v="0"/>
    <n v="10"/>
    <x v="1"/>
    <x v="1"/>
    <x v="1"/>
    <s v="Yes"/>
    <n v="20"/>
    <n v="10"/>
    <n v="20"/>
  </r>
  <r>
    <n v="3369"/>
    <s v="Bruno Henrique"/>
    <x v="1"/>
    <d v="2024-07-13T00:00:00"/>
    <x v="1"/>
    <n v="5"/>
    <x v="2"/>
    <x v="1"/>
    <x v="1"/>
    <s v="No"/>
    <n v="0"/>
    <n v="1"/>
    <n v="4"/>
  </r>
  <r>
    <n v="3370"/>
    <s v="Carlos Eduardo"/>
    <x v="0"/>
    <d v="2024-07-14T00:00:00"/>
    <x v="0"/>
    <n v="15"/>
    <x v="0"/>
    <x v="0"/>
    <x v="0"/>
    <s v="Yes"/>
    <n v="20"/>
    <n v="15"/>
    <n v="50"/>
  </r>
  <r>
    <n v="3371"/>
    <s v="Débora Lima"/>
    <x v="2"/>
    <d v="2024-07-15T00:00:00"/>
    <x v="1"/>
    <n v="10"/>
    <x v="0"/>
    <x v="1"/>
    <x v="1"/>
    <s v="Yes"/>
    <n v="20"/>
    <n v="5"/>
    <n v="25"/>
  </r>
  <r>
    <n v="3372"/>
    <s v="Elisa Neves"/>
    <x v="1"/>
    <d v="2024-07-16T00:00:00"/>
    <x v="0"/>
    <n v="5"/>
    <x v="1"/>
    <x v="1"/>
    <x v="1"/>
    <s v="No"/>
    <n v="0"/>
    <n v="0"/>
    <n v="5"/>
  </r>
  <r>
    <n v="3373"/>
    <s v="Fabiano Gomes"/>
    <x v="0"/>
    <d v="2024-07-17T00:00:00"/>
    <x v="1"/>
    <n v="15"/>
    <x v="2"/>
    <x v="0"/>
    <x v="0"/>
    <s v="Yes"/>
    <n v="20"/>
    <n v="20"/>
    <n v="45"/>
  </r>
  <r>
    <n v="3374"/>
    <s v="Gisele Oliveira"/>
    <x v="2"/>
    <d v="2024-07-18T00:00:00"/>
    <x v="0"/>
    <n v="10"/>
    <x v="2"/>
    <x v="1"/>
    <x v="1"/>
    <s v="Yes"/>
    <n v="20"/>
    <n v="12"/>
    <n v="18"/>
  </r>
  <r>
    <n v="3375"/>
    <s v="Héctor Silva"/>
    <x v="1"/>
    <d v="2024-07-19T00:00:00"/>
    <x v="1"/>
    <n v="5"/>
    <x v="0"/>
    <x v="1"/>
    <x v="1"/>
    <s v="No"/>
    <n v="0"/>
    <n v="2"/>
    <n v="3"/>
  </r>
  <r>
    <n v="3376"/>
    <s v="Igor Martins"/>
    <x v="0"/>
    <d v="2024-07-20T00:00:00"/>
    <x v="0"/>
    <n v="15"/>
    <x v="1"/>
    <x v="0"/>
    <x v="0"/>
    <s v="Yes"/>
    <n v="20"/>
    <n v="5"/>
    <n v="60"/>
  </r>
  <r>
    <n v="3377"/>
    <s v="Joana Figueiredo"/>
    <x v="2"/>
    <d v="2024-07-21T00:00:00"/>
    <x v="1"/>
    <n v="10"/>
    <x v="0"/>
    <x v="1"/>
    <x v="1"/>
    <s v="Yes"/>
    <n v="20"/>
    <n v="10"/>
    <n v="20"/>
  </r>
  <r>
    <n v="3378"/>
    <s v="Kleber Machado"/>
    <x v="1"/>
    <d v="2024-07-22T00:00:00"/>
    <x v="0"/>
    <n v="5"/>
    <x v="2"/>
    <x v="1"/>
    <x v="1"/>
    <s v="No"/>
    <n v="0"/>
    <n v="0"/>
    <n v="5"/>
  </r>
  <r>
    <n v="3379"/>
    <s v="Luciana Santos"/>
    <x v="0"/>
    <d v="2024-07-23T00:00:00"/>
    <x v="1"/>
    <n v="15"/>
    <x v="0"/>
    <x v="0"/>
    <x v="0"/>
    <s v="Yes"/>
    <n v="20"/>
    <n v="3"/>
    <n v="62"/>
  </r>
  <r>
    <n v="3380"/>
    <s v="Marcos Teixeira"/>
    <x v="2"/>
    <d v="2024-07-24T00:00:00"/>
    <x v="0"/>
    <n v="10"/>
    <x v="1"/>
    <x v="1"/>
    <x v="1"/>
    <s v="Yes"/>
    <n v="20"/>
    <n v="15"/>
    <n v="15"/>
  </r>
  <r>
    <n v="3381"/>
    <s v="Natalia Costa"/>
    <x v="1"/>
    <d v="2024-07-25T00:00:00"/>
    <x v="1"/>
    <n v="5"/>
    <x v="0"/>
    <x v="1"/>
    <x v="1"/>
    <s v="No"/>
    <n v="0"/>
    <n v="1"/>
    <n v="4"/>
  </r>
  <r>
    <n v="3382"/>
    <s v="Oscar Ribeiro"/>
    <x v="0"/>
    <d v="2024-07-26T00:00:00"/>
    <x v="0"/>
    <n v="15"/>
    <x v="2"/>
    <x v="0"/>
    <x v="0"/>
    <s v="Yes"/>
    <n v="20"/>
    <n v="7"/>
    <n v="58"/>
  </r>
  <r>
    <n v="3383"/>
    <s v="Patricia Almeida"/>
    <x v="2"/>
    <d v="2024-07-27T00:00:00"/>
    <x v="1"/>
    <n v="10"/>
    <x v="0"/>
    <x v="1"/>
    <x v="1"/>
    <s v="Yes"/>
    <n v="20"/>
    <n v="10"/>
    <n v="20"/>
  </r>
  <r>
    <n v="3384"/>
    <s v="Quirino Junior"/>
    <x v="1"/>
    <d v="2024-07-28T00:00:00"/>
    <x v="0"/>
    <n v="5"/>
    <x v="1"/>
    <x v="1"/>
    <x v="1"/>
    <s v="No"/>
    <n v="0"/>
    <n v="0"/>
    <n v="5"/>
  </r>
  <r>
    <n v="3385"/>
    <s v="Renata Machado"/>
    <x v="0"/>
    <d v="2024-07-29T00:00:00"/>
    <x v="1"/>
    <n v="15"/>
    <x v="0"/>
    <x v="0"/>
    <x v="0"/>
    <s v="Yes"/>
    <n v="20"/>
    <n v="20"/>
    <n v="45"/>
  </r>
  <r>
    <n v="3386"/>
    <s v="Sônia Alves"/>
    <x v="2"/>
    <d v="2024-07-30T00:00:00"/>
    <x v="0"/>
    <n v="10"/>
    <x v="2"/>
    <x v="1"/>
    <x v="1"/>
    <s v="Yes"/>
    <n v="20"/>
    <n v="15"/>
    <n v="15"/>
  </r>
  <r>
    <n v="3387"/>
    <s v="Tiago Nunes"/>
    <x v="1"/>
    <d v="2024-07-31T00:00:00"/>
    <x v="1"/>
    <n v="5"/>
    <x v="0"/>
    <x v="1"/>
    <x v="1"/>
    <s v="No"/>
    <n v="0"/>
    <n v="1"/>
    <n v="4"/>
  </r>
  <r>
    <n v="3388"/>
    <s v="Ulysses Pereira"/>
    <x v="0"/>
    <d v="2024-08-01T00:00:00"/>
    <x v="0"/>
    <n v="15"/>
    <x v="1"/>
    <x v="0"/>
    <x v="0"/>
    <s v="Yes"/>
    <n v="20"/>
    <n v="3"/>
    <n v="62"/>
  </r>
  <r>
    <n v="3389"/>
    <s v="Vanessa Lima"/>
    <x v="2"/>
    <d v="2024-08-02T00:00:00"/>
    <x v="1"/>
    <n v="10"/>
    <x v="0"/>
    <x v="1"/>
    <x v="1"/>
    <s v="Yes"/>
    <n v="20"/>
    <n v="10"/>
    <n v="20"/>
  </r>
  <r>
    <n v="3390"/>
    <s v="Wagner Santos"/>
    <x v="1"/>
    <d v="2024-08-03T00:00:00"/>
    <x v="0"/>
    <n v="5"/>
    <x v="2"/>
    <x v="1"/>
    <x v="1"/>
    <s v="No"/>
    <n v="0"/>
    <n v="0"/>
    <n v="5"/>
  </r>
  <r>
    <n v="3391"/>
    <s v="Xuxa Meneghel"/>
    <x v="0"/>
    <d v="2024-08-04T00:00:00"/>
    <x v="1"/>
    <n v="15"/>
    <x v="0"/>
    <x v="0"/>
    <x v="0"/>
    <s v="Yes"/>
    <n v="20"/>
    <n v="15"/>
    <n v="50"/>
  </r>
  <r>
    <n v="3392"/>
    <s v="Yasmin Silva"/>
    <x v="2"/>
    <d v="2024-08-05T00:00:00"/>
    <x v="0"/>
    <n v="10"/>
    <x v="1"/>
    <x v="1"/>
    <x v="1"/>
    <s v="Yes"/>
    <n v="20"/>
    <n v="15"/>
    <n v="15"/>
  </r>
  <r>
    <n v="3393"/>
    <s v="Zacarias de Souza"/>
    <x v="1"/>
    <d v="2024-08-06T00:00:00"/>
    <x v="1"/>
    <n v="5"/>
    <x v="0"/>
    <x v="1"/>
    <x v="1"/>
    <s v="No"/>
    <n v="0"/>
    <n v="1"/>
    <n v="4"/>
  </r>
  <r>
    <n v="3394"/>
    <s v="André Lima"/>
    <x v="0"/>
    <d v="2024-08-07T00:00:00"/>
    <x v="0"/>
    <n v="15"/>
    <x v="2"/>
    <x v="0"/>
    <x v="0"/>
    <s v="Yes"/>
    <n v="20"/>
    <n v="7"/>
    <n v="58"/>
  </r>
  <r>
    <n v="3395"/>
    <s v="Bianca Freitas"/>
    <x v="2"/>
    <d v="2024-08-08T00:00:00"/>
    <x v="1"/>
    <n v="10"/>
    <x v="0"/>
    <x v="1"/>
    <x v="1"/>
    <s v="Yes"/>
    <n v="20"/>
    <n v="10"/>
    <n v="20"/>
  </r>
  <r>
    <n v="3396"/>
    <s v="Caio Mendes"/>
    <x v="1"/>
    <d v="2024-08-09T00:00:00"/>
    <x v="0"/>
    <n v="5"/>
    <x v="1"/>
    <x v="1"/>
    <x v="1"/>
    <s v="No"/>
    <n v="0"/>
    <n v="0"/>
    <n v="5"/>
  </r>
  <r>
    <n v="3397"/>
    <s v="Daniela Moura"/>
    <x v="0"/>
    <d v="2024-08-10T00:00:00"/>
    <x v="1"/>
    <n v="15"/>
    <x v="0"/>
    <x v="0"/>
    <x v="0"/>
    <s v="Yes"/>
    <n v="20"/>
    <n v="20"/>
    <n v="45"/>
  </r>
  <r>
    <n v="3398"/>
    <s v="Eduardo Costa"/>
    <x v="2"/>
    <d v="2024-08-11T00:00:00"/>
    <x v="0"/>
    <n v="10"/>
    <x v="2"/>
    <x v="1"/>
    <x v="1"/>
    <s v="Yes"/>
    <n v="20"/>
    <n v="15"/>
    <n v="15"/>
  </r>
  <r>
    <n v="3399"/>
    <s v="Fernanda Gomes"/>
    <x v="1"/>
    <d v="2024-08-12T00:00:00"/>
    <x v="1"/>
    <n v="5"/>
    <x v="0"/>
    <x v="1"/>
    <x v="1"/>
    <s v="No"/>
    <n v="0"/>
    <n v="1"/>
    <n v="4"/>
  </r>
  <r>
    <n v="3400"/>
    <s v="Guilherme Souza"/>
    <x v="0"/>
    <d v="2024-08-13T00:00:00"/>
    <x v="0"/>
    <n v="15"/>
    <x v="1"/>
    <x v="0"/>
    <x v="0"/>
    <s v="Yes"/>
    <n v="20"/>
    <n v="5"/>
    <n v="60"/>
  </r>
  <r>
    <n v="3401"/>
    <s v="Helena Ribeiro"/>
    <x v="2"/>
    <d v="2024-08-14T00:00:00"/>
    <x v="1"/>
    <n v="10"/>
    <x v="0"/>
    <x v="1"/>
    <x v="1"/>
    <s v="Yes"/>
    <n v="20"/>
    <n v="10"/>
    <n v="20"/>
  </r>
  <r>
    <n v="3402"/>
    <s v="Igor Santos"/>
    <x v="1"/>
    <d v="2024-08-15T00:00:00"/>
    <x v="0"/>
    <n v="5"/>
    <x v="2"/>
    <x v="1"/>
    <x v="1"/>
    <s v="No"/>
    <n v="0"/>
    <n v="0"/>
    <n v="5"/>
  </r>
  <r>
    <n v="3403"/>
    <s v="João Carvalho"/>
    <x v="0"/>
    <d v="2024-08-16T00:00:00"/>
    <x v="1"/>
    <n v="15"/>
    <x v="0"/>
    <x v="0"/>
    <x v="0"/>
    <s v="Yes"/>
    <n v="20"/>
    <n v="3"/>
    <n v="62"/>
  </r>
  <r>
    <n v="3404"/>
    <s v="Klara Fagundes"/>
    <x v="2"/>
    <d v="2024-08-17T00:00:00"/>
    <x v="0"/>
    <n v="10"/>
    <x v="1"/>
    <x v="1"/>
    <x v="1"/>
    <s v="Yes"/>
    <n v="20"/>
    <n v="15"/>
    <n v="15"/>
  </r>
  <r>
    <n v="3405"/>
    <s v="Lúcia Mendonça"/>
    <x v="1"/>
    <d v="2024-08-18T00:00:00"/>
    <x v="1"/>
    <n v="5"/>
    <x v="0"/>
    <x v="1"/>
    <x v="1"/>
    <s v="No"/>
    <n v="0"/>
    <n v="1"/>
    <n v="4"/>
  </r>
  <r>
    <n v="3406"/>
    <s v="Marcelo Novaes"/>
    <x v="1"/>
    <d v="2024-08-19T00:00:00"/>
    <x v="0"/>
    <n v="5"/>
    <x v="0"/>
    <x v="1"/>
    <x v="1"/>
    <s v="No"/>
    <n v="0"/>
    <n v="0"/>
    <n v="5"/>
  </r>
  <r>
    <n v="3407"/>
    <s v="Nina Pacheco"/>
    <x v="0"/>
    <d v="2024-08-20T00:00:00"/>
    <x v="1"/>
    <n v="15"/>
    <x v="2"/>
    <x v="0"/>
    <x v="0"/>
    <s v="Yes"/>
    <n v="20"/>
    <n v="7"/>
    <n v="58"/>
  </r>
  <r>
    <n v="3408"/>
    <s v="Olívia Rios"/>
    <x v="2"/>
    <d v="2024-08-21T00:00:00"/>
    <x v="0"/>
    <n v="10"/>
    <x v="1"/>
    <x v="1"/>
    <x v="1"/>
    <s v="Yes"/>
    <n v="20"/>
    <n v="10"/>
    <n v="20"/>
  </r>
  <r>
    <n v="3409"/>
    <s v="Paulo Quintana"/>
    <x v="1"/>
    <d v="2024-08-22T00:00:00"/>
    <x v="1"/>
    <n v="5"/>
    <x v="2"/>
    <x v="1"/>
    <x v="1"/>
    <s v="No"/>
    <n v="0"/>
    <n v="1"/>
    <n v="4"/>
  </r>
  <r>
    <n v="3410"/>
    <s v="Raquel Domingos"/>
    <x v="0"/>
    <d v="2024-08-23T00:00:00"/>
    <x v="0"/>
    <n v="15"/>
    <x v="0"/>
    <x v="0"/>
    <x v="0"/>
    <s v="Yes"/>
    <n v="20"/>
    <n v="15"/>
    <n v="50"/>
  </r>
  <r>
    <n v="3411"/>
    <s v="Samuel Viana"/>
    <x v="2"/>
    <d v="2024-08-24T00:00:00"/>
    <x v="1"/>
    <n v="10"/>
    <x v="0"/>
    <x v="1"/>
    <x v="1"/>
    <s v="Yes"/>
    <n v="20"/>
    <n v="5"/>
    <n v="25"/>
  </r>
  <r>
    <n v="3412"/>
    <s v="Tatiane Rocha"/>
    <x v="1"/>
    <d v="2024-08-25T00:00:00"/>
    <x v="0"/>
    <n v="5"/>
    <x v="1"/>
    <x v="1"/>
    <x v="1"/>
    <s v="No"/>
    <n v="0"/>
    <n v="0"/>
    <n v="5"/>
  </r>
  <r>
    <n v="3413"/>
    <s v="Ulysses Farias"/>
    <x v="0"/>
    <d v="2024-08-26T00:00:00"/>
    <x v="1"/>
    <n v="15"/>
    <x v="2"/>
    <x v="0"/>
    <x v="0"/>
    <s v="Yes"/>
    <n v="20"/>
    <n v="20"/>
    <n v="45"/>
  </r>
  <r>
    <n v="3414"/>
    <s v="Vanessa Moreira"/>
    <x v="2"/>
    <d v="2024-08-27T00:00:00"/>
    <x v="0"/>
    <n v="10"/>
    <x v="2"/>
    <x v="1"/>
    <x v="1"/>
    <s v="Yes"/>
    <n v="20"/>
    <n v="12"/>
    <n v="18"/>
  </r>
  <r>
    <n v="3415"/>
    <s v="William Carvalho"/>
    <x v="1"/>
    <d v="2024-08-28T00:00:00"/>
    <x v="1"/>
    <n v="5"/>
    <x v="0"/>
    <x v="1"/>
    <x v="1"/>
    <s v="No"/>
    <n v="0"/>
    <n v="2"/>
    <n v="3"/>
  </r>
  <r>
    <n v="3416"/>
    <s v="Ximena Barros"/>
    <x v="0"/>
    <d v="2024-08-29T00:00:00"/>
    <x v="0"/>
    <n v="15"/>
    <x v="1"/>
    <x v="0"/>
    <x v="0"/>
    <s v="Yes"/>
    <n v="20"/>
    <n v="5"/>
    <n v="60"/>
  </r>
  <r>
    <n v="3417"/>
    <s v="Yara Machado"/>
    <x v="2"/>
    <d v="2024-08-30T00:00:00"/>
    <x v="1"/>
    <n v="10"/>
    <x v="0"/>
    <x v="1"/>
    <x v="1"/>
    <s v="Yes"/>
    <n v="20"/>
    <n v="10"/>
    <n v="20"/>
  </r>
  <r>
    <n v="3418"/>
    <s v="Zacarias Costa"/>
    <x v="1"/>
    <d v="2024-08-31T00:00:00"/>
    <x v="0"/>
    <n v="5"/>
    <x v="2"/>
    <x v="1"/>
    <x v="1"/>
    <s v="No"/>
    <n v="0"/>
    <n v="0"/>
    <n v="5"/>
  </r>
  <r>
    <n v="3419"/>
    <s v="André Lopes"/>
    <x v="0"/>
    <d v="2024-09-01T00:00:00"/>
    <x v="1"/>
    <n v="15"/>
    <x v="0"/>
    <x v="0"/>
    <x v="0"/>
    <s v="Yes"/>
    <n v="20"/>
    <n v="3"/>
    <n v="62"/>
  </r>
  <r>
    <n v="3420"/>
    <s v="Beatriz Souza"/>
    <x v="2"/>
    <d v="2024-09-02T00:00:00"/>
    <x v="0"/>
    <n v="10"/>
    <x v="1"/>
    <x v="1"/>
    <x v="1"/>
    <s v="Yes"/>
    <n v="20"/>
    <n v="15"/>
    <n v="15"/>
  </r>
  <r>
    <n v="3421"/>
    <s v="Caio Pereira"/>
    <x v="1"/>
    <d v="2024-09-03T00:00:00"/>
    <x v="1"/>
    <n v="5"/>
    <x v="0"/>
    <x v="1"/>
    <x v="1"/>
    <s v="No"/>
    <n v="0"/>
    <n v="1"/>
    <n v="4"/>
  </r>
  <r>
    <n v="3422"/>
    <s v="Daniela Araújo"/>
    <x v="0"/>
    <d v="2024-09-04T00:00:00"/>
    <x v="0"/>
    <n v="15"/>
    <x v="2"/>
    <x v="0"/>
    <x v="0"/>
    <s v="Yes"/>
    <n v="20"/>
    <n v="7"/>
    <n v="58"/>
  </r>
  <r>
    <n v="3423"/>
    <s v="Eduardo Santos"/>
    <x v="2"/>
    <d v="2024-09-05T00:00:00"/>
    <x v="1"/>
    <n v="10"/>
    <x v="0"/>
    <x v="1"/>
    <x v="1"/>
    <s v="Yes"/>
    <n v="20"/>
    <n v="10"/>
    <n v="20"/>
  </r>
  <r>
    <n v="3424"/>
    <s v="Fernanda Lima"/>
    <x v="1"/>
    <d v="2024-09-06T00:00:00"/>
    <x v="0"/>
    <n v="5"/>
    <x v="1"/>
    <x v="1"/>
    <x v="1"/>
    <s v="No"/>
    <n v="0"/>
    <n v="0"/>
    <n v="5"/>
  </r>
  <r>
    <n v="3425"/>
    <s v="Gabriel Teixeira"/>
    <x v="0"/>
    <d v="2024-09-07T00:00:00"/>
    <x v="1"/>
    <n v="15"/>
    <x v="0"/>
    <x v="0"/>
    <x v="0"/>
    <s v="Yes"/>
    <n v="20"/>
    <n v="20"/>
    <n v="45"/>
  </r>
  <r>
    <n v="3426"/>
    <s v="Helena Ribeiro"/>
    <x v="2"/>
    <d v="2024-09-08T00:00:00"/>
    <x v="0"/>
    <n v="10"/>
    <x v="2"/>
    <x v="1"/>
    <x v="1"/>
    <s v="Yes"/>
    <n v="20"/>
    <n v="15"/>
    <n v="15"/>
  </r>
  <r>
    <n v="3427"/>
    <s v="Igor Mendes"/>
    <x v="1"/>
    <d v="2024-09-09T00:00:00"/>
    <x v="1"/>
    <n v="5"/>
    <x v="0"/>
    <x v="1"/>
    <x v="1"/>
    <s v="No"/>
    <n v="0"/>
    <n v="1"/>
    <n v="4"/>
  </r>
  <r>
    <n v="3428"/>
    <s v="Joana Silveira"/>
    <x v="0"/>
    <d v="2024-09-10T00:00:00"/>
    <x v="0"/>
    <n v="15"/>
    <x v="1"/>
    <x v="0"/>
    <x v="0"/>
    <s v="Yes"/>
    <n v="20"/>
    <n v="3"/>
    <n v="62"/>
  </r>
  <r>
    <n v="3429"/>
    <s v="Lucas Martins"/>
    <x v="2"/>
    <d v="2024-09-11T00:00:00"/>
    <x v="1"/>
    <n v="10"/>
    <x v="0"/>
    <x v="1"/>
    <x v="1"/>
    <s v="Yes"/>
    <n v="20"/>
    <n v="10"/>
    <n v="20"/>
  </r>
  <r>
    <n v="3430"/>
    <s v="Marcela Gouveia"/>
    <x v="1"/>
    <d v="2024-09-12T00:00:00"/>
    <x v="0"/>
    <n v="5"/>
    <x v="2"/>
    <x v="1"/>
    <x v="1"/>
    <s v="No"/>
    <n v="0"/>
    <n v="0"/>
    <n v="5"/>
  </r>
  <r>
    <n v="3431"/>
    <s v="Nicolas Borges"/>
    <x v="0"/>
    <d v="2024-09-13T00:00:00"/>
    <x v="1"/>
    <n v="15"/>
    <x v="0"/>
    <x v="0"/>
    <x v="0"/>
    <s v="Yes"/>
    <n v="20"/>
    <n v="15"/>
    <n v="50"/>
  </r>
  <r>
    <n v="3432"/>
    <s v="Olivia Freitas"/>
    <x v="2"/>
    <d v="2024-09-14T00:00:00"/>
    <x v="0"/>
    <n v="10"/>
    <x v="1"/>
    <x v="1"/>
    <x v="1"/>
    <s v="Yes"/>
    <n v="20"/>
    <n v="15"/>
    <n v="15"/>
  </r>
  <r>
    <n v="3433"/>
    <s v="Paulo Nogueira"/>
    <x v="1"/>
    <d v="2024-09-15T00:00:00"/>
    <x v="1"/>
    <n v="5"/>
    <x v="0"/>
    <x v="1"/>
    <x v="1"/>
    <s v="No"/>
    <n v="0"/>
    <n v="1"/>
    <n v="4"/>
  </r>
  <r>
    <n v="3434"/>
    <s v="Raquel Andrade"/>
    <x v="0"/>
    <d v="2024-09-16T00:00:00"/>
    <x v="0"/>
    <n v="15"/>
    <x v="2"/>
    <x v="0"/>
    <x v="0"/>
    <s v="Yes"/>
    <n v="20"/>
    <n v="7"/>
    <n v="58"/>
  </r>
  <r>
    <n v="3435"/>
    <s v="Sônia Carvalho"/>
    <x v="2"/>
    <d v="2024-09-17T00:00:00"/>
    <x v="1"/>
    <n v="10"/>
    <x v="0"/>
    <x v="1"/>
    <x v="1"/>
    <s v="Yes"/>
    <n v="20"/>
    <n v="10"/>
    <n v="20"/>
  </r>
  <r>
    <n v="3436"/>
    <s v="Tiago Rodrigues"/>
    <x v="1"/>
    <d v="2024-09-18T00:00:00"/>
    <x v="0"/>
    <n v="5"/>
    <x v="0"/>
    <x v="1"/>
    <x v="1"/>
    <s v="No"/>
    <n v="0"/>
    <n v="0"/>
    <n v="5"/>
  </r>
  <r>
    <n v="3437"/>
    <s v="Ursula Monteiro"/>
    <x v="0"/>
    <d v="2024-09-19T00:00:00"/>
    <x v="1"/>
    <n v="15"/>
    <x v="2"/>
    <x v="0"/>
    <x v="0"/>
    <s v="Yes"/>
    <n v="20"/>
    <n v="7"/>
    <n v="58"/>
  </r>
  <r>
    <n v="3438"/>
    <s v="Vanessa Pereira"/>
    <x v="2"/>
    <d v="2024-09-20T00:00:00"/>
    <x v="0"/>
    <n v="10"/>
    <x v="1"/>
    <x v="1"/>
    <x v="1"/>
    <s v="Yes"/>
    <n v="20"/>
    <n v="10"/>
    <n v="20"/>
  </r>
  <r>
    <n v="3439"/>
    <s v="Walter Silva"/>
    <x v="1"/>
    <d v="2024-09-21T00:00:00"/>
    <x v="1"/>
    <n v="5"/>
    <x v="2"/>
    <x v="1"/>
    <x v="1"/>
    <s v="No"/>
    <n v="0"/>
    <n v="1"/>
    <n v="4"/>
  </r>
  <r>
    <n v="3440"/>
    <s v="Xavier Almeida"/>
    <x v="0"/>
    <d v="2024-09-22T00:00:00"/>
    <x v="0"/>
    <n v="15"/>
    <x v="0"/>
    <x v="0"/>
    <x v="0"/>
    <s v="Yes"/>
    <n v="20"/>
    <n v="15"/>
    <n v="50"/>
  </r>
  <r>
    <n v="3441"/>
    <s v="Yasmine Correia"/>
    <x v="2"/>
    <d v="2024-09-23T00:00:00"/>
    <x v="1"/>
    <n v="10"/>
    <x v="0"/>
    <x v="1"/>
    <x v="1"/>
    <s v="Yes"/>
    <n v="20"/>
    <n v="5"/>
    <n v="25"/>
  </r>
  <r>
    <n v="3442"/>
    <s v="Zacarias Almeida"/>
    <x v="1"/>
    <d v="2024-09-24T00:00:00"/>
    <x v="0"/>
    <n v="5"/>
    <x v="1"/>
    <x v="1"/>
    <x v="1"/>
    <s v="No"/>
    <n v="0"/>
    <n v="0"/>
    <n v="5"/>
  </r>
  <r>
    <n v="3443"/>
    <s v="Amanda Costa"/>
    <x v="0"/>
    <d v="2024-09-25T00:00:00"/>
    <x v="1"/>
    <n v="15"/>
    <x v="2"/>
    <x v="0"/>
    <x v="0"/>
    <s v="Yes"/>
    <n v="20"/>
    <n v="20"/>
    <n v="45"/>
  </r>
  <r>
    <n v="3444"/>
    <s v="Bruno Ferreira"/>
    <x v="2"/>
    <d v="2024-09-26T00:00:00"/>
    <x v="0"/>
    <n v="10"/>
    <x v="2"/>
    <x v="1"/>
    <x v="1"/>
    <s v="Yes"/>
    <n v="20"/>
    <n v="12"/>
    <n v="18"/>
  </r>
  <r>
    <n v="3445"/>
    <s v="Carla Dias"/>
    <x v="1"/>
    <d v="2024-09-27T00:00:00"/>
    <x v="1"/>
    <n v="5"/>
    <x v="0"/>
    <x v="1"/>
    <x v="1"/>
    <s v="No"/>
    <n v="0"/>
    <n v="2"/>
    <n v="3"/>
  </r>
  <r>
    <n v="3446"/>
    <s v="Diogo Martins"/>
    <x v="0"/>
    <d v="2024-09-28T00:00:00"/>
    <x v="0"/>
    <n v="15"/>
    <x v="1"/>
    <x v="0"/>
    <x v="0"/>
    <s v="Yes"/>
    <n v="20"/>
    <n v="5"/>
    <n v="60"/>
  </r>
  <r>
    <n v="3447"/>
    <s v="Elisa Campos"/>
    <x v="2"/>
    <d v="2024-09-29T00:00:00"/>
    <x v="1"/>
    <n v="10"/>
    <x v="0"/>
    <x v="1"/>
    <x v="1"/>
    <s v="Yes"/>
    <n v="20"/>
    <n v="10"/>
    <n v="20"/>
  </r>
  <r>
    <n v="3448"/>
    <s v="Fabiana Lima"/>
    <x v="1"/>
    <d v="2024-09-30T00:00:00"/>
    <x v="0"/>
    <n v="5"/>
    <x v="2"/>
    <x v="1"/>
    <x v="1"/>
    <s v="No"/>
    <n v="0"/>
    <n v="0"/>
    <n v="5"/>
  </r>
  <r>
    <n v="3449"/>
    <s v="Gabriel Santos"/>
    <x v="0"/>
    <d v="2024-10-01T00:00:00"/>
    <x v="1"/>
    <n v="15"/>
    <x v="0"/>
    <x v="0"/>
    <x v="0"/>
    <s v="Yes"/>
    <n v="20"/>
    <n v="3"/>
    <n v="62"/>
  </r>
  <r>
    <n v="3450"/>
    <s v="Helena Ferreira"/>
    <x v="2"/>
    <d v="2024-10-02T00:00:00"/>
    <x v="0"/>
    <n v="10"/>
    <x v="1"/>
    <x v="1"/>
    <x v="1"/>
    <s v="Yes"/>
    <n v="20"/>
    <n v="15"/>
    <n v="15"/>
  </r>
  <r>
    <n v="3451"/>
    <s v="Ígor Nunes"/>
    <x v="1"/>
    <d v="2024-10-03T00:00:00"/>
    <x v="1"/>
    <n v="5"/>
    <x v="0"/>
    <x v="1"/>
    <x v="1"/>
    <s v="No"/>
    <n v="0"/>
    <n v="1"/>
    <n v="4"/>
  </r>
  <r>
    <n v="3452"/>
    <s v="Joana Silveira"/>
    <x v="0"/>
    <d v="2024-10-04T00:00:00"/>
    <x v="0"/>
    <n v="15"/>
    <x v="2"/>
    <x v="0"/>
    <x v="0"/>
    <s v="Yes"/>
    <n v="20"/>
    <n v="7"/>
    <n v="58"/>
  </r>
  <r>
    <n v="3453"/>
    <s v="Kléber Oliveira"/>
    <x v="2"/>
    <d v="2024-10-05T00:00:00"/>
    <x v="1"/>
    <n v="10"/>
    <x v="0"/>
    <x v="1"/>
    <x v="1"/>
    <s v="Yes"/>
    <n v="20"/>
    <n v="10"/>
    <n v="20"/>
  </r>
  <r>
    <n v="3454"/>
    <s v="Luciana Morais"/>
    <x v="1"/>
    <d v="2024-10-06T00:00:00"/>
    <x v="0"/>
    <n v="5"/>
    <x v="1"/>
    <x v="1"/>
    <x v="1"/>
    <s v="No"/>
    <n v="0"/>
    <n v="0"/>
    <n v="5"/>
  </r>
  <r>
    <n v="3455"/>
    <s v="Marcos Vinícius"/>
    <x v="0"/>
    <d v="2024-10-07T00:00:00"/>
    <x v="1"/>
    <n v="15"/>
    <x v="0"/>
    <x v="0"/>
    <x v="0"/>
    <s v="Yes"/>
    <n v="20"/>
    <n v="20"/>
    <n v="45"/>
  </r>
  <r>
    <n v="3456"/>
    <s v="Natália Barros"/>
    <x v="2"/>
    <d v="2024-10-08T00:00:00"/>
    <x v="0"/>
    <n v="10"/>
    <x v="2"/>
    <x v="1"/>
    <x v="1"/>
    <s v="Yes"/>
    <n v="20"/>
    <n v="15"/>
    <n v="15"/>
  </r>
  <r>
    <n v="3457"/>
    <s v="Oscar Sampaio"/>
    <x v="1"/>
    <d v="2024-10-09T00:00:00"/>
    <x v="1"/>
    <n v="5"/>
    <x v="0"/>
    <x v="1"/>
    <x v="1"/>
    <s v="No"/>
    <n v="0"/>
    <n v="1"/>
    <n v="4"/>
  </r>
  <r>
    <n v="3458"/>
    <s v="Patrícia Leite"/>
    <x v="0"/>
    <d v="2024-10-10T00:00:00"/>
    <x v="0"/>
    <n v="15"/>
    <x v="1"/>
    <x v="0"/>
    <x v="0"/>
    <s v="Yes"/>
    <n v="20"/>
    <n v="3"/>
    <n v="62"/>
  </r>
  <r>
    <n v="3459"/>
    <s v="Quênia Rocha"/>
    <x v="2"/>
    <d v="2024-10-11T00:00:00"/>
    <x v="1"/>
    <n v="10"/>
    <x v="0"/>
    <x v="1"/>
    <x v="1"/>
    <s v="Yes"/>
    <n v="20"/>
    <n v="10"/>
    <n v="20"/>
  </r>
  <r>
    <n v="3460"/>
    <s v="Rafael Torres"/>
    <x v="1"/>
    <d v="2024-10-12T00:00:00"/>
    <x v="0"/>
    <n v="5"/>
    <x v="2"/>
    <x v="1"/>
    <x v="1"/>
    <s v="No"/>
    <n v="0"/>
    <n v="0"/>
    <n v="5"/>
  </r>
  <r>
    <n v="3461"/>
    <s v="Sandra Gouveia"/>
    <x v="0"/>
    <d v="2024-10-13T00:00:00"/>
    <x v="1"/>
    <n v="15"/>
    <x v="0"/>
    <x v="0"/>
    <x v="0"/>
    <s v="Yes"/>
    <n v="20"/>
    <n v="15"/>
    <n v="50"/>
  </r>
  <r>
    <n v="3462"/>
    <s v="Tiago Lacerda"/>
    <x v="2"/>
    <d v="2024-10-14T00:00:00"/>
    <x v="0"/>
    <n v="10"/>
    <x v="1"/>
    <x v="1"/>
    <x v="1"/>
    <s v="Yes"/>
    <n v="20"/>
    <n v="15"/>
    <n v="15"/>
  </r>
  <r>
    <n v="3463"/>
    <s v="Ursula Fonseca"/>
    <x v="1"/>
    <d v="2024-10-15T00:00:00"/>
    <x v="1"/>
    <n v="5"/>
    <x v="0"/>
    <x v="1"/>
    <x v="1"/>
    <s v="No"/>
    <n v="0"/>
    <n v="1"/>
    <n v="4"/>
  </r>
  <r>
    <n v="3464"/>
    <s v="Vanessa Andrade"/>
    <x v="0"/>
    <d v="2024-10-16T00:00:00"/>
    <x v="0"/>
    <n v="15"/>
    <x v="2"/>
    <x v="0"/>
    <x v="0"/>
    <s v="Yes"/>
    <n v="20"/>
    <n v="7"/>
    <n v="58"/>
  </r>
  <r>
    <n v="3465"/>
    <s v="William Castro"/>
    <x v="2"/>
    <d v="2024-10-17T00:00:00"/>
    <x v="1"/>
    <n v="10"/>
    <x v="0"/>
    <x v="1"/>
    <x v="1"/>
    <s v="Yes"/>
    <n v="20"/>
    <n v="10"/>
    <n v="20"/>
  </r>
  <r>
    <n v="3466"/>
    <s v="Xavier Monteiro"/>
    <x v="1"/>
    <d v="2024-10-18T00:00:00"/>
    <x v="0"/>
    <n v="5"/>
    <x v="1"/>
    <x v="1"/>
    <x v="1"/>
    <s v="No"/>
    <n v="0"/>
    <n v="0"/>
    <n v="5"/>
  </r>
  <r>
    <n v="3467"/>
    <s v="Yasmin Figueira"/>
    <x v="0"/>
    <d v="2024-10-19T00:00:00"/>
    <x v="1"/>
    <n v="15"/>
    <x v="0"/>
    <x v="0"/>
    <x v="0"/>
    <s v="Yes"/>
    <n v="20"/>
    <n v="15"/>
    <n v="50"/>
  </r>
  <r>
    <n v="3468"/>
    <s v="Zacarias Mendonça"/>
    <x v="2"/>
    <d v="2024-10-20T00:00:00"/>
    <x v="0"/>
    <n v="10"/>
    <x v="2"/>
    <x v="1"/>
    <x v="1"/>
    <s v="Yes"/>
    <n v="20"/>
    <n v="12"/>
    <n v="18"/>
  </r>
  <r>
    <n v="3469"/>
    <s v="Amanda Menezes"/>
    <x v="1"/>
    <d v="2024-10-21T00:00:00"/>
    <x v="1"/>
    <n v="5"/>
    <x v="0"/>
    <x v="1"/>
    <x v="1"/>
    <s v="No"/>
    <n v="0"/>
    <n v="2"/>
    <n v="3"/>
  </r>
  <r>
    <n v="3470"/>
    <s v="Bruno Santos"/>
    <x v="0"/>
    <d v="2024-10-22T00:00:00"/>
    <x v="0"/>
    <n v="15"/>
    <x v="1"/>
    <x v="0"/>
    <x v="0"/>
    <s v="Yes"/>
    <n v="20"/>
    <n v="5"/>
    <n v="60"/>
  </r>
  <r>
    <n v="3471"/>
    <s v="Carla Ferreira"/>
    <x v="2"/>
    <d v="2024-10-23T00:00:00"/>
    <x v="1"/>
    <n v="10"/>
    <x v="0"/>
    <x v="1"/>
    <x v="1"/>
    <s v="Yes"/>
    <n v="20"/>
    <n v="10"/>
    <n v="20"/>
  </r>
  <r>
    <n v="3472"/>
    <s v="Diogo Alves"/>
    <x v="1"/>
    <d v="2024-10-24T00:00:00"/>
    <x v="0"/>
    <n v="5"/>
    <x v="2"/>
    <x v="1"/>
    <x v="1"/>
    <s v="No"/>
    <n v="0"/>
    <n v="0"/>
    <n v="5"/>
  </r>
  <r>
    <n v="3473"/>
    <s v="Elisa Neves"/>
    <x v="0"/>
    <d v="2024-10-25T00:00:00"/>
    <x v="1"/>
    <n v="15"/>
    <x v="0"/>
    <x v="0"/>
    <x v="0"/>
    <s v="Yes"/>
    <n v="20"/>
    <n v="3"/>
    <n v="62"/>
  </r>
  <r>
    <n v="3474"/>
    <s v="Fabiano Pires"/>
    <x v="2"/>
    <d v="2024-10-26T00:00:00"/>
    <x v="0"/>
    <n v="10"/>
    <x v="1"/>
    <x v="1"/>
    <x v="1"/>
    <s v="Yes"/>
    <n v="20"/>
    <n v="15"/>
    <n v="15"/>
  </r>
  <r>
    <n v="3475"/>
    <s v="Giovana Ribeiro"/>
    <x v="1"/>
    <d v="2024-10-27T00:00:00"/>
    <x v="1"/>
    <n v="5"/>
    <x v="0"/>
    <x v="1"/>
    <x v="1"/>
    <s v="No"/>
    <n v="0"/>
    <n v="1"/>
    <n v="4"/>
  </r>
  <r>
    <n v="3476"/>
    <s v="Hélio Costa"/>
    <x v="0"/>
    <d v="2024-10-28T00:00:00"/>
    <x v="0"/>
    <n v="15"/>
    <x v="2"/>
    <x v="0"/>
    <x v="0"/>
    <s v="Yes"/>
    <n v="20"/>
    <n v="7"/>
    <n v="58"/>
  </r>
  <r>
    <n v="3477"/>
    <s v="Íris Loureiro"/>
    <x v="2"/>
    <d v="2024-10-29T00:00:00"/>
    <x v="1"/>
    <n v="10"/>
    <x v="0"/>
    <x v="1"/>
    <x v="1"/>
    <s v="Yes"/>
    <n v="20"/>
    <n v="10"/>
    <n v="20"/>
  </r>
  <r>
    <n v="3478"/>
    <s v="João Pereira"/>
    <x v="1"/>
    <d v="2024-10-30T00:00:00"/>
    <x v="0"/>
    <n v="5"/>
    <x v="1"/>
    <x v="1"/>
    <x v="1"/>
    <s v="No"/>
    <n v="0"/>
    <n v="0"/>
    <n v="5"/>
  </r>
  <r>
    <n v="3479"/>
    <s v="Klara Silva"/>
    <x v="0"/>
    <d v="2024-10-31T00:00:00"/>
    <x v="1"/>
    <n v="15"/>
    <x v="0"/>
    <x v="0"/>
    <x v="0"/>
    <s v="Yes"/>
    <n v="20"/>
    <n v="20"/>
    <n v="45"/>
  </r>
  <r>
    <n v="3480"/>
    <s v="Luciana Barros"/>
    <x v="2"/>
    <d v="2024-11-01T00:00:00"/>
    <x v="0"/>
    <n v="10"/>
    <x v="2"/>
    <x v="1"/>
    <x v="1"/>
    <s v="Yes"/>
    <n v="20"/>
    <n v="15"/>
    <n v="15"/>
  </r>
  <r>
    <n v="3481"/>
    <s v="Marcos Gomes"/>
    <x v="1"/>
    <d v="2024-11-02T00:00:00"/>
    <x v="1"/>
    <n v="5"/>
    <x v="0"/>
    <x v="1"/>
    <x v="1"/>
    <s v="No"/>
    <n v="0"/>
    <n v="1"/>
    <n v="4"/>
  </r>
  <r>
    <n v="3482"/>
    <s v="Natália Soares"/>
    <x v="0"/>
    <d v="2024-11-03T00:00:00"/>
    <x v="0"/>
    <n v="15"/>
    <x v="1"/>
    <x v="0"/>
    <x v="0"/>
    <s v="Yes"/>
    <n v="20"/>
    <n v="3"/>
    <n v="62"/>
  </r>
  <r>
    <n v="3483"/>
    <s v="Oscar Machado"/>
    <x v="2"/>
    <d v="2024-11-04T00:00:00"/>
    <x v="1"/>
    <n v="10"/>
    <x v="0"/>
    <x v="1"/>
    <x v="1"/>
    <s v="Yes"/>
    <n v="20"/>
    <n v="10"/>
    <n v="20"/>
  </r>
  <r>
    <n v="3484"/>
    <s v="Patrícia Lima"/>
    <x v="1"/>
    <d v="2024-11-05T00:00:00"/>
    <x v="0"/>
    <n v="5"/>
    <x v="2"/>
    <x v="1"/>
    <x v="1"/>
    <s v="No"/>
    <n v="0"/>
    <n v="0"/>
    <n v="5"/>
  </r>
  <r>
    <n v="3485"/>
    <s v="Quirino Neto"/>
    <x v="0"/>
    <d v="2024-11-06T00:00:00"/>
    <x v="1"/>
    <n v="15"/>
    <x v="0"/>
    <x v="0"/>
    <x v="0"/>
    <s v="Yes"/>
    <n v="20"/>
    <n v="15"/>
    <n v="50"/>
  </r>
  <r>
    <n v="3486"/>
    <s v="Rafaela Souza"/>
    <x v="1"/>
    <d v="2024-11-07T00:00:00"/>
    <x v="0"/>
    <n v="5"/>
    <x v="0"/>
    <x v="1"/>
    <x v="1"/>
    <s v="No"/>
    <n v="0"/>
    <n v="0"/>
    <n v="5"/>
  </r>
  <r>
    <n v="3487"/>
    <s v="Sandro Almeida"/>
    <x v="0"/>
    <d v="2024-11-08T00:00:00"/>
    <x v="1"/>
    <n v="15"/>
    <x v="2"/>
    <x v="0"/>
    <x v="0"/>
    <s v="Yes"/>
    <n v="20"/>
    <n v="7"/>
    <n v="58"/>
  </r>
  <r>
    <n v="3488"/>
    <s v="Tânia Ribeiro"/>
    <x v="2"/>
    <d v="2024-11-09T00:00:00"/>
    <x v="0"/>
    <n v="10"/>
    <x v="1"/>
    <x v="1"/>
    <x v="1"/>
    <s v="Yes"/>
    <n v="20"/>
    <n v="10"/>
    <n v="20"/>
  </r>
  <r>
    <n v="3489"/>
    <s v="Ugo Dias"/>
    <x v="1"/>
    <d v="2024-11-10T00:00:00"/>
    <x v="1"/>
    <n v="5"/>
    <x v="2"/>
    <x v="1"/>
    <x v="1"/>
    <s v="No"/>
    <n v="0"/>
    <n v="1"/>
    <n v="4"/>
  </r>
  <r>
    <n v="3490"/>
    <s v="Valéria Lima"/>
    <x v="0"/>
    <d v="2024-11-11T00:00:00"/>
    <x v="0"/>
    <n v="15"/>
    <x v="0"/>
    <x v="0"/>
    <x v="0"/>
    <s v="Yes"/>
    <n v="20"/>
    <n v="15"/>
    <n v="50"/>
  </r>
  <r>
    <n v="3491"/>
    <s v="William Fernandes"/>
    <x v="2"/>
    <d v="2024-11-12T00:00:00"/>
    <x v="1"/>
    <n v="10"/>
    <x v="0"/>
    <x v="1"/>
    <x v="1"/>
    <s v="Yes"/>
    <n v="20"/>
    <n v="5"/>
    <n v="25"/>
  </r>
  <r>
    <n v="3492"/>
    <s v="Xuxa Mendes"/>
    <x v="1"/>
    <d v="2024-11-13T00:00:00"/>
    <x v="0"/>
    <n v="5"/>
    <x v="1"/>
    <x v="1"/>
    <x v="1"/>
    <s v="No"/>
    <n v="0"/>
    <n v="0"/>
    <n v="5"/>
  </r>
  <r>
    <n v="3493"/>
    <s v="Ygor Farias"/>
    <x v="0"/>
    <d v="2024-11-14T00:00:00"/>
    <x v="1"/>
    <n v="15"/>
    <x v="2"/>
    <x v="0"/>
    <x v="0"/>
    <s v="Yes"/>
    <n v="20"/>
    <n v="20"/>
    <n v="45"/>
  </r>
  <r>
    <n v="3494"/>
    <s v="Zilda Barros"/>
    <x v="2"/>
    <d v="2024-11-15T00:00:00"/>
    <x v="0"/>
    <n v="10"/>
    <x v="2"/>
    <x v="1"/>
    <x v="1"/>
    <s v="Yes"/>
    <n v="20"/>
    <n v="12"/>
    <n v="18"/>
  </r>
  <r>
    <n v="3495"/>
    <s v="Amanda Santos"/>
    <x v="1"/>
    <d v="2024-11-16T00:00:00"/>
    <x v="1"/>
    <n v="5"/>
    <x v="0"/>
    <x v="1"/>
    <x v="1"/>
    <s v="No"/>
    <n v="0"/>
    <n v="2"/>
    <n v="3"/>
  </r>
  <r>
    <n v="3496"/>
    <s v="Bruno Costa"/>
    <x v="0"/>
    <d v="2024-11-17T00:00:00"/>
    <x v="0"/>
    <n v="15"/>
    <x v="1"/>
    <x v="0"/>
    <x v="0"/>
    <s v="Yes"/>
    <n v="20"/>
    <n v="5"/>
    <n v="60"/>
  </r>
  <r>
    <n v="3497"/>
    <s v="Carla Rodrigues"/>
    <x v="2"/>
    <d v="2024-11-18T00:00:00"/>
    <x v="1"/>
    <n v="10"/>
    <x v="0"/>
    <x v="1"/>
    <x v="1"/>
    <s v="Yes"/>
    <n v="20"/>
    <n v="10"/>
    <n v="20"/>
  </r>
  <r>
    <n v="3498"/>
    <s v="Diogo Pereira"/>
    <x v="1"/>
    <d v="2024-11-19T00:00:00"/>
    <x v="0"/>
    <n v="5"/>
    <x v="2"/>
    <x v="1"/>
    <x v="1"/>
    <s v="No"/>
    <n v="0"/>
    <n v="0"/>
    <n v="5"/>
  </r>
  <r>
    <n v="3499"/>
    <s v="Elisa Correia"/>
    <x v="0"/>
    <d v="2024-11-20T00:00:00"/>
    <x v="1"/>
    <n v="15"/>
    <x v="0"/>
    <x v="0"/>
    <x v="0"/>
    <s v="Yes"/>
    <n v="20"/>
    <n v="3"/>
    <n v="62"/>
  </r>
  <r>
    <n v="3500"/>
    <s v="Fábio Lourenço"/>
    <x v="2"/>
    <d v="2024-11-21T00:00:00"/>
    <x v="0"/>
    <n v="10"/>
    <x v="1"/>
    <x v="1"/>
    <x v="1"/>
    <s v="Yes"/>
    <n v="20"/>
    <n v="15"/>
    <n v="15"/>
  </r>
  <r>
    <n v="3501"/>
    <s v="Gabriela Neves"/>
    <x v="1"/>
    <d v="2024-11-22T00:00:00"/>
    <x v="1"/>
    <n v="5"/>
    <x v="0"/>
    <x v="1"/>
    <x v="1"/>
    <s v="No"/>
    <n v="0"/>
    <n v="1"/>
    <n v="4"/>
  </r>
  <r>
    <n v="3502"/>
    <s v="Henrique Gonçalves"/>
    <x v="0"/>
    <d v="2024-11-23T00:00:00"/>
    <x v="0"/>
    <n v="15"/>
    <x v="2"/>
    <x v="0"/>
    <x v="0"/>
    <s v="Yes"/>
    <n v="20"/>
    <n v="7"/>
    <n v="58"/>
  </r>
  <r>
    <n v="3503"/>
    <s v="Íris Santos"/>
    <x v="2"/>
    <d v="2024-11-24T00:00:00"/>
    <x v="1"/>
    <n v="10"/>
    <x v="0"/>
    <x v="1"/>
    <x v="1"/>
    <s v="Yes"/>
    <n v="20"/>
    <n v="10"/>
    <n v="20"/>
  </r>
  <r>
    <n v="3504"/>
    <s v="João Marcelo Alves"/>
    <x v="1"/>
    <d v="2024-11-25T00:00:00"/>
    <x v="0"/>
    <n v="5"/>
    <x v="1"/>
    <x v="1"/>
    <x v="1"/>
    <s v="No"/>
    <n v="0"/>
    <n v="0"/>
    <n v="5"/>
  </r>
  <r>
    <n v="3505"/>
    <s v="Klara Fonseca"/>
    <x v="0"/>
    <d v="2024-11-26T00:00:00"/>
    <x v="1"/>
    <n v="15"/>
    <x v="0"/>
    <x v="0"/>
    <x v="0"/>
    <s v="Yes"/>
    <n v="20"/>
    <n v="20"/>
    <n v="45"/>
  </r>
  <r>
    <n v="3506"/>
    <s v="Lucas Mendonça"/>
    <x v="2"/>
    <d v="2024-11-27T00:00:00"/>
    <x v="0"/>
    <n v="10"/>
    <x v="2"/>
    <x v="1"/>
    <x v="1"/>
    <s v="Yes"/>
    <n v="20"/>
    <n v="15"/>
    <n v="15"/>
  </r>
  <r>
    <n v="3507"/>
    <s v="Marcela Torres"/>
    <x v="1"/>
    <d v="2024-11-28T00:00:00"/>
    <x v="1"/>
    <n v="5"/>
    <x v="0"/>
    <x v="1"/>
    <x v="1"/>
    <s v="No"/>
    <n v="0"/>
    <n v="1"/>
    <n v="4"/>
  </r>
  <r>
    <n v="3508"/>
    <s v="Natália Castro"/>
    <x v="0"/>
    <d v="2024-11-29T00:00:00"/>
    <x v="0"/>
    <n v="15"/>
    <x v="1"/>
    <x v="0"/>
    <x v="0"/>
    <s v="Yes"/>
    <n v="20"/>
    <n v="3"/>
    <n v="62"/>
  </r>
  <r>
    <n v="3509"/>
    <s v="Oscar Martins"/>
    <x v="2"/>
    <d v="2024-11-30T00:00:00"/>
    <x v="1"/>
    <n v="10"/>
    <x v="0"/>
    <x v="1"/>
    <x v="1"/>
    <s v="Yes"/>
    <n v="20"/>
    <n v="10"/>
    <n v="20"/>
  </r>
  <r>
    <n v="3510"/>
    <s v="Patrícia Oliveira"/>
    <x v="1"/>
    <d v="2024-12-01T00:00:00"/>
    <x v="0"/>
    <n v="5"/>
    <x v="2"/>
    <x v="1"/>
    <x v="1"/>
    <s v="No"/>
    <n v="0"/>
    <n v="0"/>
    <n v="5"/>
  </r>
  <r>
    <n v="3511"/>
    <s v="Quentin Nogueira"/>
    <x v="0"/>
    <d v="2024-12-02T00:00:00"/>
    <x v="1"/>
    <n v="15"/>
    <x v="0"/>
    <x v="0"/>
    <x v="0"/>
    <s v="Yes"/>
    <n v="20"/>
    <n v="15"/>
    <n v="50"/>
  </r>
  <r>
    <n v="3512"/>
    <s v="Raquel Silva"/>
    <x v="2"/>
    <d v="2024-12-03T00:00:00"/>
    <x v="0"/>
    <n v="10"/>
    <x v="1"/>
    <x v="1"/>
    <x v="1"/>
    <s v="Yes"/>
    <n v="20"/>
    <n v="15"/>
    <n v="15"/>
  </r>
  <r>
    <n v="3513"/>
    <s v="Sandro Gomes"/>
    <x v="1"/>
    <d v="2024-12-04T00:00:00"/>
    <x v="1"/>
    <n v="5"/>
    <x v="0"/>
    <x v="1"/>
    <x v="1"/>
    <s v="No"/>
    <n v="0"/>
    <n v="1"/>
    <n v="4"/>
  </r>
  <r>
    <n v="3514"/>
    <s v="Tânia Machado"/>
    <x v="0"/>
    <d v="2024-12-05T00:00:00"/>
    <x v="0"/>
    <n v="15"/>
    <x v="2"/>
    <x v="0"/>
    <x v="0"/>
    <s v="Yes"/>
    <n v="20"/>
    <n v="7"/>
    <n v="58"/>
  </r>
  <r>
    <n v="3515"/>
    <s v="Ursula Silva"/>
    <x v="2"/>
    <d v="2024-12-06T00:00:00"/>
    <x v="1"/>
    <n v="10"/>
    <x v="0"/>
    <x v="1"/>
    <x v="1"/>
    <s v="Yes"/>
    <n v="20"/>
    <n v="10"/>
    <n v="20"/>
  </r>
  <r>
    <n v="3516"/>
    <s v="Vanessa Moraes"/>
    <x v="1"/>
    <d v="2024-12-07T00:00:00"/>
    <x v="0"/>
    <n v="5"/>
    <x v="1"/>
    <x v="1"/>
    <x v="1"/>
    <s v="No"/>
    <n v="0"/>
    <n v="0"/>
    <n v="5"/>
  </r>
  <r>
    <n v="3517"/>
    <s v="William Carvalho"/>
    <x v="0"/>
    <d v="2024-12-08T00:00:00"/>
    <x v="1"/>
    <n v="15"/>
    <x v="0"/>
    <x v="0"/>
    <x v="0"/>
    <s v="Yes"/>
    <n v="20"/>
    <n v="20"/>
    <n v="45"/>
  </r>
  <r>
    <n v="3518"/>
    <s v="Xavier Reis"/>
    <x v="2"/>
    <d v="2024-12-09T00:00:00"/>
    <x v="0"/>
    <n v="10"/>
    <x v="2"/>
    <x v="1"/>
    <x v="1"/>
    <s v="Yes"/>
    <n v="20"/>
    <n v="12"/>
    <n v="18"/>
  </r>
  <r>
    <n v="3519"/>
    <s v="Yasmin Rocha"/>
    <x v="1"/>
    <d v="2024-12-10T00:00:00"/>
    <x v="1"/>
    <n v="5"/>
    <x v="0"/>
    <x v="1"/>
    <x v="1"/>
    <s v="No"/>
    <n v="0"/>
    <n v="2"/>
    <n v="3"/>
  </r>
  <r>
    <n v="3520"/>
    <s v="Zacarias Duarte"/>
    <x v="0"/>
    <d v="2024-12-11T00:00:00"/>
    <x v="0"/>
    <n v="15"/>
    <x v="1"/>
    <x v="0"/>
    <x v="0"/>
    <s v="Yes"/>
    <n v="20"/>
    <n v="5"/>
    <n v="60"/>
  </r>
  <r>
    <n v="3521"/>
    <s v="Amanda Freitas"/>
    <x v="2"/>
    <d v="2024-12-12T00:00:00"/>
    <x v="1"/>
    <n v="10"/>
    <x v="0"/>
    <x v="1"/>
    <x v="1"/>
    <s v="Yes"/>
    <n v="20"/>
    <n v="10"/>
    <n v="20"/>
  </r>
  <r>
    <n v="3522"/>
    <s v="Bruno Almeida"/>
    <x v="1"/>
    <d v="2024-12-13T00:00:00"/>
    <x v="0"/>
    <n v="5"/>
    <x v="2"/>
    <x v="1"/>
    <x v="1"/>
    <s v="No"/>
    <n v="0"/>
    <n v="0"/>
    <n v="5"/>
  </r>
  <r>
    <n v="3523"/>
    <s v="Carla Siqueira"/>
    <x v="0"/>
    <d v="2024-12-14T00:00:00"/>
    <x v="1"/>
    <n v="15"/>
    <x v="0"/>
    <x v="0"/>
    <x v="0"/>
    <s v="Yes"/>
    <n v="20"/>
    <n v="3"/>
    <n v="62"/>
  </r>
  <r>
    <n v="3524"/>
    <s v="Diogo Ramos"/>
    <x v="2"/>
    <d v="2024-12-15T00:00:00"/>
    <x v="0"/>
    <n v="10"/>
    <x v="1"/>
    <x v="1"/>
    <x v="1"/>
    <s v="Yes"/>
    <n v="20"/>
    <n v="15"/>
    <n v="15"/>
  </r>
  <r>
    <n v="3525"/>
    <s v="Elisa Magalhães"/>
    <x v="1"/>
    <d v="2024-12-16T00:00:00"/>
    <x v="1"/>
    <n v="5"/>
    <x v="0"/>
    <x v="1"/>
    <x v="1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C6E6BB-0F5E-48DB-9D9C-55BB6E3DD509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40:B41" firstHeaderRow="1" firstDataRow="1" firstDataCol="0" rowPageCount="1" colPageCount="1"/>
  <pivotFields count="13">
    <pivotField showAll="0"/>
    <pivotField showAll="0"/>
    <pivotField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h="1" x="1"/>
        <item h="1" x="0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numFmtId="44" showAll="0"/>
    <pivotField numFmtId="44" showAll="0"/>
    <pivotField dataField="1" numFmtId="44" showAll="0"/>
  </pivotFields>
  <rowItems count="1">
    <i/>
  </rowItems>
  <colItems count="1">
    <i/>
  </colItems>
  <pageFields count="1">
    <pageField fld="6" hier="-1"/>
  </pageFields>
  <dataFields count="1">
    <dataField name="Soma de Total Value" fld="12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15CA2A-5818-49B1-95A9-139B363ACC41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33:B34" firstHeaderRow="1" firstDataRow="1" firstDataCol="0" rowPageCount="1" colPageCount="1"/>
  <pivotFields count="13">
    <pivotField showAll="0"/>
    <pivotField showAll="0"/>
    <pivotField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dataField="1" numFmtId="44" showAll="0"/>
    <pivotField axis="axisPage" multipleItemSelectionAllowed="1" showAll="0">
      <items count="4">
        <item h="1" x="1"/>
        <item h="1" x="0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</pivotFields>
  <rowItems count="1">
    <i/>
  </rowItems>
  <colItems count="1">
    <i/>
  </colItems>
  <pageFields count="1">
    <pageField fld="6" hier="-1"/>
  </pageFields>
  <dataFields count="1">
    <dataField name="Soma de Subscription Price" fld="5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DE695E-CE4D-4160-ABB0-879D00477653}" name="tbl_total-vendas_planos-anuais_minecraft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26:B27" firstHeaderRow="1" firstDataRow="1" firstDataCol="0" rowPageCount="1" colPageCount="1"/>
  <pivotFields count="13">
    <pivotField showAll="0"/>
    <pivotField showAll="0"/>
    <pivotField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h="1" x="1"/>
        <item h="1" x="0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dataField="1" numFmtId="44" showAll="0"/>
    <pivotField numFmtId="44" showAll="0"/>
    <pivotField numFmtId="44" showAll="0"/>
  </pivotFields>
  <rowItems count="1">
    <i/>
  </rowItems>
  <colItems count="1">
    <i/>
  </colItems>
  <pageFields count="1">
    <pageField fld="6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21E42A-A177-47CD-9322-801D0F99F907}" name="tbl_total-vendas_planos-anuais_ea-play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19:B20" firstHeaderRow="1" firstDataRow="1" firstDataCol="0" rowPageCount="1" colPageCount="1"/>
  <pivotFields count="13">
    <pivotField showAll="0"/>
    <pivotField showAll="0"/>
    <pivotField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h="1" x="1"/>
        <item h="1" x="0"/>
        <item x="2"/>
        <item t="default"/>
      </items>
    </pivotField>
    <pivotField showAll="0">
      <items count="3">
        <item x="1"/>
        <item x="0"/>
        <item t="default"/>
      </items>
    </pivotField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</pivotFields>
  <rowItems count="1">
    <i/>
  </rowItems>
  <colItems count="1">
    <i/>
  </colItems>
  <pageFields count="1">
    <pageField fld="6" hier="-1"/>
  </pageFields>
  <dataFields count="1">
    <dataField name="Soma de EA Play Season Pass" fld="8" baseField="0" baseItem="0" numFmtId="164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323D6B-2867-4F9C-ABD4-7ABAA59C59DF}" name="tbl_total-vendas_planos-anuai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B10:C13" firstHeaderRow="1" firstDataRow="1" firstDataCol="1" rowPageCount="1" colPageCount="1"/>
  <pivotFields count="13">
    <pivotField showAll="0"/>
    <pivotField showAll="0"/>
    <pivotField showAll="0">
      <items count="4">
        <item x="1"/>
        <item x="2"/>
        <item x="0"/>
        <item t="default"/>
      </items>
    </pivotField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h="1" x="1"/>
        <item h="1"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formats count="1">
    <format dxfId="5">
      <pivotArea collapsedLevelsAreSubtotals="1" fieldPosition="0">
        <references count="1">
          <reference field="4" count="1">
            <x v="0"/>
          </reference>
        </references>
      </pivotArea>
    </format>
  </format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78142A27-8410-4ADB-ADB6-2B289C684D33}" sourceName="Subscription Type">
  <pivotTables>
    <pivotTable tabId="3" name="tbl_total-vendas_planos-anuais"/>
    <pivotTable tabId="3" name="tbl_total-vendas_planos-anuais_ea-play"/>
    <pivotTable tabId="3" name="tbl_total-vendas_planos-anuais_minecraft"/>
    <pivotTable tabId="3" name="Tabela dinâmica3"/>
    <pivotTable tabId="3" name="Tabela dinâmica4"/>
  </pivotTables>
  <data>
    <tabular pivotCacheId="1027504801">
      <items count="3">
        <i x="1"/>
        <i x="0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8C2147CE-5093-47CF-8148-5584042CFD41}" cache="SegmentaçãodeDados_Subscription_Type" caption="Subscription Type" style="SlicerStyleLight1 - peronalizada xbox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bl_base" displayName="tbl_base" ref="A1:M297" totalsRowShown="0" dataDxfId="19">
  <autoFilter ref="A1:M297" xr:uid="{34E0E886-4200-4B36-97B3-63DB74FF40A0}"/>
  <tableColumns count="13">
    <tableColumn id="1" xr3:uid="{C4A90516-688A-46BF-9167-EA16C2A8A652}" name="Subscriber ID" dataDxfId="18"/>
    <tableColumn id="2" xr3:uid="{53DD39D0-2220-4121-9E9D-4EAA7E151C0F}" name="Name" dataDxfId="17"/>
    <tableColumn id="3" xr3:uid="{4F5FF271-4C57-4BE0-8F2C-F82C8551625C}" name="Plan" dataDxfId="16"/>
    <tableColumn id="4" xr3:uid="{8C17EB93-79B9-4E55-B8F7-BEB82F8253E9}" name="Start Date" dataDxfId="15"/>
    <tableColumn id="5" xr3:uid="{48CEDF9B-1689-482A-A828-5CCE7713264A}" name="Auto Renewal" dataDxfId="14"/>
    <tableColumn id="6" xr3:uid="{78B82374-9AA7-4E38-AE4F-78CDE6C83720}" name="Subscription Price" dataDxfId="13" dataCellStyle="Moeda"/>
    <tableColumn id="7" xr3:uid="{F2433F68-AF33-49D0-B1FB-19A396074EDE}" name="Subscription Type" dataDxfId="12"/>
    <tableColumn id="8" xr3:uid="{FD4D9C95-F6E5-4933-9068-A71FF7DF9343}" name="EA Play Season Pass" dataDxfId="11"/>
    <tableColumn id="13" xr3:uid="{978DD0D2-834E-4CE4-A39B-30976086932F}" name="EA Play Season Pass_x000a_Price" dataDxfId="10" dataCellStyle="Moeda"/>
    <tableColumn id="9" xr3:uid="{6E29F111-C395-4580-9DAD-3407D9E8B1A4}" name="Minecraft Season Pass" dataDxfId="9"/>
    <tableColumn id="10" xr3:uid="{EF544EAA-7F25-4FD5-A10E-8E62804DB9E3}" name="Minecraft Season Pass Price" dataDxfId="8" dataCellStyle="Moeda"/>
    <tableColumn id="11" xr3:uid="{7F6EB64A-1F07-4E48-9F0F-AC7D9DCD26F8}" name="Coupon Value" dataDxfId="7" dataCellStyle="Moeda"/>
    <tableColumn id="12" xr3:uid="{2B04ABC8-DE6F-426E-ADC0-D8AFC68CA58E}" name="Total Value" dataDxfId="6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 codeName="Planilha1">
    <tabColor theme="3" tint="0.749992370372631"/>
  </sheetPr>
  <dimension ref="B2:P17"/>
  <sheetViews>
    <sheetView showGridLines="0" zoomScaleNormal="100" workbookViewId="0">
      <selection activeCell="E5" sqref="E5"/>
    </sheetView>
  </sheetViews>
  <sheetFormatPr defaultRowHeight="14.5" x14ac:dyDescent="0.35"/>
  <cols>
    <col min="9" max="9" width="3.54296875" customWidth="1"/>
  </cols>
  <sheetData>
    <row r="2" spans="2:16" x14ac:dyDescent="0.35">
      <c r="J2" s="12"/>
    </row>
    <row r="3" spans="2:16" ht="20" thickBot="1" x14ac:dyDescent="0.5">
      <c r="B3" s="1" t="s">
        <v>0</v>
      </c>
      <c r="C3" s="1"/>
      <c r="D3" s="1"/>
      <c r="E3" s="1"/>
      <c r="F3" s="1"/>
      <c r="G3" s="1"/>
      <c r="H3" s="1"/>
    </row>
    <row r="4" spans="2:16" ht="15" thickTop="1" x14ac:dyDescent="0.35"/>
    <row r="5" spans="2:16" x14ac:dyDescent="0.35">
      <c r="B5" s="3" t="s">
        <v>2</v>
      </c>
      <c r="C5" t="s">
        <v>8</v>
      </c>
      <c r="E5" s="7" t="s">
        <v>6</v>
      </c>
      <c r="F5" t="s">
        <v>7</v>
      </c>
    </row>
    <row r="6" spans="2:16" x14ac:dyDescent="0.35">
      <c r="B6" s="4" t="s">
        <v>3</v>
      </c>
      <c r="C6" t="s">
        <v>8</v>
      </c>
    </row>
    <row r="7" spans="2:16" x14ac:dyDescent="0.35">
      <c r="B7" s="5" t="s">
        <v>4</v>
      </c>
      <c r="C7" t="s">
        <v>9</v>
      </c>
    </row>
    <row r="8" spans="2:16" x14ac:dyDescent="0.35">
      <c r="B8" s="6" t="s">
        <v>5</v>
      </c>
      <c r="C8" t="s">
        <v>9</v>
      </c>
    </row>
    <row r="10" spans="2:16" ht="20" thickBot="1" x14ac:dyDescent="0.5">
      <c r="B10" s="1" t="s">
        <v>1</v>
      </c>
      <c r="C10" s="1"/>
      <c r="D10" s="1"/>
      <c r="E10" s="1"/>
      <c r="F10" s="1"/>
      <c r="G10" s="1"/>
      <c r="H10" s="1"/>
      <c r="J10" s="1" t="s">
        <v>10</v>
      </c>
      <c r="K10" s="1"/>
      <c r="L10" s="1"/>
      <c r="M10" s="1"/>
      <c r="N10" s="1"/>
      <c r="O10" s="1"/>
      <c r="P10" s="1"/>
    </row>
    <row r="11" spans="2:16" ht="15" thickTop="1" x14ac:dyDescent="0.35">
      <c r="B11" s="2"/>
      <c r="C11" s="2"/>
      <c r="D11" s="2"/>
      <c r="E11" s="2"/>
      <c r="F11" s="2"/>
      <c r="G11" s="2"/>
      <c r="H11" s="2"/>
    </row>
    <row r="12" spans="2:16" x14ac:dyDescent="0.35">
      <c r="B12" s="2"/>
      <c r="C12" s="2"/>
      <c r="D12" s="2"/>
      <c r="E12" s="2"/>
      <c r="F12" s="2"/>
      <c r="G12" s="2"/>
      <c r="H12" s="2"/>
    </row>
    <row r="13" spans="2:16" x14ac:dyDescent="0.35">
      <c r="B13" s="2"/>
      <c r="C13" s="2"/>
      <c r="D13" s="2"/>
      <c r="E13" s="2"/>
      <c r="F13" s="2"/>
      <c r="G13" s="2"/>
      <c r="H13" s="2"/>
    </row>
    <row r="14" spans="2:16" x14ac:dyDescent="0.35">
      <c r="B14" s="2"/>
      <c r="C14" s="2"/>
      <c r="D14" s="2"/>
      <c r="E14" s="2"/>
      <c r="F14" s="2"/>
      <c r="G14" s="2"/>
      <c r="H14" s="2"/>
    </row>
    <row r="15" spans="2:16" x14ac:dyDescent="0.35">
      <c r="B15" s="2"/>
      <c r="C15" s="2"/>
      <c r="D15" s="2"/>
      <c r="E15" s="2"/>
      <c r="F15" s="2"/>
      <c r="G15" s="2"/>
      <c r="H15" s="2"/>
    </row>
    <row r="16" spans="2:16" x14ac:dyDescent="0.35">
      <c r="B16" s="2"/>
      <c r="C16" s="2"/>
      <c r="D16" s="2"/>
      <c r="E16" s="2"/>
      <c r="F16" s="2"/>
      <c r="G16" s="2"/>
      <c r="H16" s="2"/>
    </row>
    <row r="17" spans="2:8" x14ac:dyDescent="0.35">
      <c r="B17" s="2"/>
      <c r="C17" s="2"/>
      <c r="D17" s="2"/>
      <c r="E17" s="2"/>
      <c r="F17" s="2"/>
      <c r="G17" s="2"/>
      <c r="H17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 codeName="Planilha2">
    <tabColor theme="3" tint="0.749992370372631"/>
  </sheetPr>
  <dimension ref="A1:M297"/>
  <sheetViews>
    <sheetView topLeftCell="C1" zoomScale="90" zoomScaleNormal="90" workbookViewId="0">
      <selection activeCell="C1" sqref="C1:M4"/>
    </sheetView>
  </sheetViews>
  <sheetFormatPr defaultRowHeight="14.5" x14ac:dyDescent="0.35"/>
  <cols>
    <col min="1" max="1" width="17.81640625" bestFit="1" customWidth="1"/>
    <col min="2" max="2" width="18.81640625" bestFit="1" customWidth="1"/>
    <col min="3" max="3" width="9.453125" bestFit="1" customWidth="1"/>
    <col min="4" max="4" width="14.54296875" bestFit="1" customWidth="1"/>
    <col min="5" max="5" width="18" bestFit="1" customWidth="1"/>
    <col min="6" max="6" width="14.7265625" bestFit="1" customWidth="1"/>
    <col min="7" max="7" width="22" bestFit="1" customWidth="1"/>
    <col min="8" max="8" width="20.54296875" bestFit="1" customWidth="1"/>
    <col min="9" max="9" width="20.54296875" customWidth="1"/>
    <col min="10" max="10" width="16.7265625" bestFit="1" customWidth="1"/>
    <col min="11" max="11" width="21.26953125" bestFit="1" customWidth="1"/>
    <col min="12" max="12" width="12.7265625" bestFit="1" customWidth="1"/>
    <col min="13" max="13" width="10.54296875" bestFit="1" customWidth="1"/>
  </cols>
  <sheetData>
    <row r="1" spans="1:13" ht="29" x14ac:dyDescent="0.35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35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customHeight="1" x14ac:dyDescent="0.35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customHeight="1" x14ac:dyDescent="0.35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35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customHeight="1" x14ac:dyDescent="0.35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customHeight="1" x14ac:dyDescent="0.35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35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customHeight="1" x14ac:dyDescent="0.35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35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customHeight="1" x14ac:dyDescent="0.35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customHeight="1" x14ac:dyDescent="0.35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35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customHeight="1" x14ac:dyDescent="0.35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customHeight="1" x14ac:dyDescent="0.35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35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customHeight="1" x14ac:dyDescent="0.35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customHeight="1" x14ac:dyDescent="0.35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35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customHeight="1" x14ac:dyDescent="0.35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customHeight="1" x14ac:dyDescent="0.35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35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customHeight="1" x14ac:dyDescent="0.35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customHeight="1" x14ac:dyDescent="0.35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35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customHeight="1" x14ac:dyDescent="0.35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customHeight="1" x14ac:dyDescent="0.35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35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customHeight="1" x14ac:dyDescent="0.35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customHeight="1" x14ac:dyDescent="0.35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35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customHeight="1" x14ac:dyDescent="0.35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customHeight="1" x14ac:dyDescent="0.35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35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customHeight="1" x14ac:dyDescent="0.35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customHeight="1" x14ac:dyDescent="0.35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customHeight="1" x14ac:dyDescent="0.35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35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customHeight="1" x14ac:dyDescent="0.35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customHeight="1" x14ac:dyDescent="0.35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35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customHeight="1" x14ac:dyDescent="0.35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customHeight="1" x14ac:dyDescent="0.35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35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customHeight="1" x14ac:dyDescent="0.35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customHeight="1" x14ac:dyDescent="0.35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35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customHeight="1" x14ac:dyDescent="0.35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customHeight="1" x14ac:dyDescent="0.35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35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customHeight="1" x14ac:dyDescent="0.35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customHeight="1" x14ac:dyDescent="0.35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35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customHeight="1" x14ac:dyDescent="0.35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customHeight="1" x14ac:dyDescent="0.35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35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customHeight="1" x14ac:dyDescent="0.35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customHeight="1" x14ac:dyDescent="0.35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35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customHeight="1" x14ac:dyDescent="0.35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customHeight="1" x14ac:dyDescent="0.35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35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customHeight="1" x14ac:dyDescent="0.35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customHeight="1" x14ac:dyDescent="0.35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35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customHeight="1" x14ac:dyDescent="0.35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customHeight="1" x14ac:dyDescent="0.35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35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customHeight="1" x14ac:dyDescent="0.35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customHeight="1" x14ac:dyDescent="0.35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35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customHeight="1" x14ac:dyDescent="0.35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customHeight="1" x14ac:dyDescent="0.35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35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customHeight="1" x14ac:dyDescent="0.35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customHeight="1" x14ac:dyDescent="0.35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35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customHeight="1" x14ac:dyDescent="0.35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customHeight="1" x14ac:dyDescent="0.35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35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customHeight="1" x14ac:dyDescent="0.35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customHeight="1" x14ac:dyDescent="0.35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35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customHeight="1" x14ac:dyDescent="0.35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customHeight="1" x14ac:dyDescent="0.35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35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customHeight="1" x14ac:dyDescent="0.35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customHeight="1" x14ac:dyDescent="0.35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35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customHeight="1" x14ac:dyDescent="0.35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customHeight="1" x14ac:dyDescent="0.35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35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customHeight="1" x14ac:dyDescent="0.35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customHeight="1" x14ac:dyDescent="0.35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35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customHeight="1" x14ac:dyDescent="0.35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customHeight="1" x14ac:dyDescent="0.35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35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customHeight="1" x14ac:dyDescent="0.35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customHeight="1" x14ac:dyDescent="0.35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35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customHeight="1" x14ac:dyDescent="0.35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customHeight="1" x14ac:dyDescent="0.35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35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customHeight="1" x14ac:dyDescent="0.35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customHeight="1" x14ac:dyDescent="0.35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customHeight="1" x14ac:dyDescent="0.35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35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customHeight="1" x14ac:dyDescent="0.35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customHeight="1" x14ac:dyDescent="0.35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35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customHeight="1" x14ac:dyDescent="0.35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customHeight="1" x14ac:dyDescent="0.35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35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customHeight="1" x14ac:dyDescent="0.35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customHeight="1" x14ac:dyDescent="0.35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35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customHeight="1" x14ac:dyDescent="0.35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customHeight="1" x14ac:dyDescent="0.35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35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customHeight="1" x14ac:dyDescent="0.35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customHeight="1" x14ac:dyDescent="0.35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35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customHeight="1" x14ac:dyDescent="0.35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customHeight="1" x14ac:dyDescent="0.35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35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customHeight="1" x14ac:dyDescent="0.35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customHeight="1" x14ac:dyDescent="0.35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35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customHeight="1" x14ac:dyDescent="0.35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customHeight="1" x14ac:dyDescent="0.35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35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customHeight="1" x14ac:dyDescent="0.35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customHeight="1" x14ac:dyDescent="0.35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35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customHeight="1" x14ac:dyDescent="0.35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customHeight="1" x14ac:dyDescent="0.35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35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customHeight="1" x14ac:dyDescent="0.35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customHeight="1" x14ac:dyDescent="0.35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35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customHeight="1" x14ac:dyDescent="0.35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customHeight="1" x14ac:dyDescent="0.35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35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customHeight="1" x14ac:dyDescent="0.35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customHeight="1" x14ac:dyDescent="0.35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35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customHeight="1" x14ac:dyDescent="0.35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customHeight="1" x14ac:dyDescent="0.35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35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customHeight="1" x14ac:dyDescent="0.35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customHeight="1" x14ac:dyDescent="0.35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35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customHeight="1" x14ac:dyDescent="0.35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customHeight="1" x14ac:dyDescent="0.35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35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customHeight="1" x14ac:dyDescent="0.35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customHeight="1" x14ac:dyDescent="0.35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35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customHeight="1" x14ac:dyDescent="0.35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customHeight="1" x14ac:dyDescent="0.35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35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customHeight="1" x14ac:dyDescent="0.35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customHeight="1" x14ac:dyDescent="0.35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35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customHeight="1" x14ac:dyDescent="0.35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customHeight="1" x14ac:dyDescent="0.35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35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customHeight="1" x14ac:dyDescent="0.35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customHeight="1" x14ac:dyDescent="0.35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35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customHeight="1" x14ac:dyDescent="0.35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customHeight="1" x14ac:dyDescent="0.35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35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customHeight="1" x14ac:dyDescent="0.35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customHeight="1" x14ac:dyDescent="0.35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customHeight="1" x14ac:dyDescent="0.35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35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customHeight="1" x14ac:dyDescent="0.35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customHeight="1" x14ac:dyDescent="0.35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35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customHeight="1" x14ac:dyDescent="0.35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customHeight="1" x14ac:dyDescent="0.35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35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customHeight="1" x14ac:dyDescent="0.35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customHeight="1" x14ac:dyDescent="0.35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35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customHeight="1" x14ac:dyDescent="0.35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customHeight="1" x14ac:dyDescent="0.35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35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customHeight="1" x14ac:dyDescent="0.35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customHeight="1" x14ac:dyDescent="0.35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35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customHeight="1" x14ac:dyDescent="0.35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customHeight="1" x14ac:dyDescent="0.35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35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customHeight="1" x14ac:dyDescent="0.35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customHeight="1" x14ac:dyDescent="0.35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35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customHeight="1" x14ac:dyDescent="0.35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customHeight="1" x14ac:dyDescent="0.35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35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customHeight="1" x14ac:dyDescent="0.35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customHeight="1" x14ac:dyDescent="0.35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35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customHeight="1" x14ac:dyDescent="0.35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customHeight="1" x14ac:dyDescent="0.35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35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customHeight="1" x14ac:dyDescent="0.35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customHeight="1" x14ac:dyDescent="0.35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35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customHeight="1" x14ac:dyDescent="0.35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customHeight="1" x14ac:dyDescent="0.35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35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customHeight="1" x14ac:dyDescent="0.35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customHeight="1" x14ac:dyDescent="0.35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35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customHeight="1" x14ac:dyDescent="0.35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customHeight="1" x14ac:dyDescent="0.35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35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customHeight="1" x14ac:dyDescent="0.35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customHeight="1" x14ac:dyDescent="0.35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35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customHeight="1" x14ac:dyDescent="0.35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customHeight="1" x14ac:dyDescent="0.35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35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customHeight="1" x14ac:dyDescent="0.35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customHeight="1" x14ac:dyDescent="0.35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35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customHeight="1" x14ac:dyDescent="0.35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customHeight="1" x14ac:dyDescent="0.35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35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customHeight="1" x14ac:dyDescent="0.35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customHeight="1" x14ac:dyDescent="0.35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35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customHeight="1" x14ac:dyDescent="0.35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customHeight="1" x14ac:dyDescent="0.35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35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customHeight="1" x14ac:dyDescent="0.35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customHeight="1" x14ac:dyDescent="0.35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35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customHeight="1" x14ac:dyDescent="0.35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customHeight="1" x14ac:dyDescent="0.35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35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customHeight="1" x14ac:dyDescent="0.35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customHeight="1" x14ac:dyDescent="0.35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35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customHeight="1" x14ac:dyDescent="0.35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customHeight="1" x14ac:dyDescent="0.35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35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customHeight="1" x14ac:dyDescent="0.35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customHeight="1" x14ac:dyDescent="0.35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35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customHeight="1" x14ac:dyDescent="0.35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customHeight="1" x14ac:dyDescent="0.35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35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customHeight="1" x14ac:dyDescent="0.35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35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customHeight="1" x14ac:dyDescent="0.35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customHeight="1" x14ac:dyDescent="0.35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35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customHeight="1" x14ac:dyDescent="0.35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customHeight="1" x14ac:dyDescent="0.35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35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customHeight="1" x14ac:dyDescent="0.35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customHeight="1" x14ac:dyDescent="0.35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35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customHeight="1" x14ac:dyDescent="0.35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customHeight="1" x14ac:dyDescent="0.35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35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customHeight="1" x14ac:dyDescent="0.35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customHeight="1" x14ac:dyDescent="0.35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35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customHeight="1" x14ac:dyDescent="0.35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customHeight="1" x14ac:dyDescent="0.35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35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customHeight="1" x14ac:dyDescent="0.35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customHeight="1" x14ac:dyDescent="0.35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35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customHeight="1" x14ac:dyDescent="0.35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customHeight="1" x14ac:dyDescent="0.35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35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customHeight="1" x14ac:dyDescent="0.35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customHeight="1" x14ac:dyDescent="0.35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35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customHeight="1" x14ac:dyDescent="0.35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customHeight="1" x14ac:dyDescent="0.35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35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customHeight="1" x14ac:dyDescent="0.35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customHeight="1" x14ac:dyDescent="0.35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35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customHeight="1" x14ac:dyDescent="0.35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customHeight="1" x14ac:dyDescent="0.35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35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customHeight="1" x14ac:dyDescent="0.35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customHeight="1" x14ac:dyDescent="0.35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  <row r="297" spans="1:13" ht="16.5" customHeight="1" x14ac:dyDescent="0.35">
      <c r="A297" s="8">
        <v>3525</v>
      </c>
      <c r="B297" s="8" t="s">
        <v>332</v>
      </c>
      <c r="C297" s="8" t="s">
        <v>22</v>
      </c>
      <c r="D297" s="10">
        <v>46015</v>
      </c>
      <c r="E297" s="8" t="s">
        <v>23</v>
      </c>
      <c r="F297" s="11">
        <v>5</v>
      </c>
      <c r="G297" s="8" t="s">
        <v>20</v>
      </c>
      <c r="H297" s="8" t="s">
        <v>23</v>
      </c>
      <c r="I297" s="11" t="s">
        <v>311</v>
      </c>
      <c r="J297" s="8" t="s">
        <v>23</v>
      </c>
      <c r="K297" s="11">
        <v>0</v>
      </c>
      <c r="L297" s="11">
        <v>1</v>
      </c>
      <c r="M297" s="11">
        <v>4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 codeName="Planilha3">
    <tabColor theme="3" tint="0.749992370372631"/>
  </sheetPr>
  <dimension ref="B2:D49"/>
  <sheetViews>
    <sheetView showGridLines="0" topLeftCell="A27" workbookViewId="0">
      <selection activeCell="C48" sqref="C4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5" x14ac:dyDescent="0.35"/>
  <cols>
    <col min="2" max="2" width="17.7265625" bestFit="1" customWidth="1"/>
    <col min="3" max="3" width="10.6328125" bestFit="1" customWidth="1"/>
    <col min="4" max="4" width="10.36328125" bestFit="1" customWidth="1"/>
    <col min="5" max="5" width="11.7265625" bestFit="1" customWidth="1"/>
    <col min="6" max="6" width="19.1796875" bestFit="1" customWidth="1"/>
    <col min="7" max="7" width="27.7265625" bestFit="1" customWidth="1"/>
    <col min="8" max="8" width="5.453125" customWidth="1"/>
    <col min="9" max="9" width="21.1796875" bestFit="1" customWidth="1"/>
    <col min="10" max="11" width="35.1796875" bestFit="1" customWidth="1"/>
    <col min="12" max="15" width="9.7265625" bestFit="1" customWidth="1"/>
    <col min="16" max="16" width="15.54296875" bestFit="1" customWidth="1"/>
    <col min="17" max="17" width="12.1796875" bestFit="1" customWidth="1"/>
  </cols>
  <sheetData>
    <row r="2" spans="2:4" ht="18.5" x14ac:dyDescent="0.45">
      <c r="B2" s="14" t="s">
        <v>314</v>
      </c>
      <c r="C2" s="13"/>
      <c r="D2" s="13"/>
    </row>
    <row r="3" spans="2:4" x14ac:dyDescent="0.35">
      <c r="B3" t="s">
        <v>319</v>
      </c>
    </row>
    <row r="5" spans="2:4" x14ac:dyDescent="0.35">
      <c r="B5" t="s">
        <v>313</v>
      </c>
    </row>
    <row r="6" spans="2:4" x14ac:dyDescent="0.35">
      <c r="B6" t="s">
        <v>318</v>
      </c>
    </row>
    <row r="8" spans="2:4" x14ac:dyDescent="0.35">
      <c r="B8" s="15" t="s">
        <v>16</v>
      </c>
      <c r="C8" t="s">
        <v>27</v>
      </c>
    </row>
    <row r="10" spans="2:4" x14ac:dyDescent="0.35">
      <c r="B10" s="15" t="s">
        <v>315</v>
      </c>
      <c r="C10" t="s">
        <v>317</v>
      </c>
    </row>
    <row r="11" spans="2:4" ht="16" x14ac:dyDescent="0.5">
      <c r="B11" s="16" t="s">
        <v>23</v>
      </c>
      <c r="C11" s="18">
        <v>806</v>
      </c>
    </row>
    <row r="12" spans="2:4" x14ac:dyDescent="0.35">
      <c r="B12" s="16" t="s">
        <v>19</v>
      </c>
      <c r="C12" s="17">
        <v>1502</v>
      </c>
    </row>
    <row r="13" spans="2:4" x14ac:dyDescent="0.35">
      <c r="B13" s="16" t="s">
        <v>316</v>
      </c>
      <c r="C13" s="17">
        <v>2308</v>
      </c>
    </row>
    <row r="15" spans="2:4" x14ac:dyDescent="0.35">
      <c r="B15" t="s">
        <v>321</v>
      </c>
    </row>
    <row r="17" spans="2:4" x14ac:dyDescent="0.35">
      <c r="B17" s="15" t="s">
        <v>16</v>
      </c>
      <c r="C17" t="s">
        <v>27</v>
      </c>
      <c r="D17" s="23">
        <f>GETPIVOTDATA("EA Play Season Pass
Price",$B$19)</f>
        <v>990</v>
      </c>
    </row>
    <row r="19" spans="2:4" x14ac:dyDescent="0.35">
      <c r="B19" t="s">
        <v>322</v>
      </c>
    </row>
    <row r="20" spans="2:4" x14ac:dyDescent="0.35">
      <c r="B20" s="23">
        <v>990</v>
      </c>
    </row>
    <row r="22" spans="2:4" x14ac:dyDescent="0.35">
      <c r="B22" t="s">
        <v>323</v>
      </c>
    </row>
    <row r="24" spans="2:4" x14ac:dyDescent="0.35">
      <c r="B24" s="15" t="s">
        <v>16</v>
      </c>
      <c r="C24" t="s">
        <v>27</v>
      </c>
      <c r="D24" s="23">
        <f>GETPIVOTDATA("Minecraft Season Pass Price",$B$26)</f>
        <v>1140</v>
      </c>
    </row>
    <row r="26" spans="2:4" x14ac:dyDescent="0.35">
      <c r="B26" t="s">
        <v>324</v>
      </c>
    </row>
    <row r="27" spans="2:4" x14ac:dyDescent="0.35">
      <c r="B27" s="17">
        <v>1140</v>
      </c>
    </row>
    <row r="29" spans="2:4" x14ac:dyDescent="0.35">
      <c r="B29" t="s">
        <v>326</v>
      </c>
    </row>
    <row r="31" spans="2:4" x14ac:dyDescent="0.35">
      <c r="B31" s="15" t="s">
        <v>16</v>
      </c>
      <c r="C31" t="s">
        <v>27</v>
      </c>
      <c r="D31" s="23">
        <f>GETPIVOTDATA("Subscription Price",$B$33)</f>
        <v>875</v>
      </c>
    </row>
    <row r="33" spans="2:4" x14ac:dyDescent="0.35">
      <c r="B33" t="s">
        <v>325</v>
      </c>
    </row>
    <row r="34" spans="2:4" x14ac:dyDescent="0.35">
      <c r="B34" s="17">
        <v>875</v>
      </c>
    </row>
    <row r="36" spans="2:4" x14ac:dyDescent="0.35">
      <c r="B36" t="s">
        <v>327</v>
      </c>
    </row>
    <row r="38" spans="2:4" x14ac:dyDescent="0.35">
      <c r="B38" s="15" t="s">
        <v>16</v>
      </c>
      <c r="C38" t="s">
        <v>27</v>
      </c>
      <c r="D38" s="23">
        <f>GETPIVOTDATA("Total Value",$B$40)</f>
        <v>2308</v>
      </c>
    </row>
    <row r="40" spans="2:4" x14ac:dyDescent="0.35">
      <c r="B40" t="s">
        <v>317</v>
      </c>
    </row>
    <row r="41" spans="2:4" x14ac:dyDescent="0.35">
      <c r="B41" s="17">
        <v>2308</v>
      </c>
    </row>
    <row r="43" spans="2:4" x14ac:dyDescent="0.35">
      <c r="B43" t="s">
        <v>328</v>
      </c>
    </row>
    <row r="45" spans="2:4" x14ac:dyDescent="0.35">
      <c r="B45" s="26" t="s">
        <v>329</v>
      </c>
      <c r="C45" s="27" t="s">
        <v>330</v>
      </c>
    </row>
    <row r="46" spans="2:4" x14ac:dyDescent="0.35">
      <c r="C46" s="27"/>
    </row>
    <row r="47" spans="2:4" ht="29" x14ac:dyDescent="0.35">
      <c r="B47" s="26" t="s">
        <v>331</v>
      </c>
      <c r="C47" s="27" t="str">
        <f>"
Data period: " &amp; TEXT(SMALL(tbl_base[Start Date],1),"dd/mm/aaaa") &amp; " to " &amp; TEXT(LARGE(tbl_base[Start Date],1),"dd/mm/aaaa") &amp; " | Last updated: " &amp; TEXT(C49,"dd/mm/aaaa hh:mm:ss")</f>
        <v xml:space="preserve">
Data period: 01/01/2024 to 24/12/2025 | Last updated: 14/05/2026 15:57:18</v>
      </c>
    </row>
    <row r="48" spans="2:4" x14ac:dyDescent="0.35">
      <c r="C48" s="27"/>
    </row>
    <row r="49" spans="2:3" ht="29" x14ac:dyDescent="0.35">
      <c r="B49" s="26" t="s">
        <v>333</v>
      </c>
      <c r="C49" s="28">
        <v>46156.66479166667</v>
      </c>
    </row>
  </sheetData>
  <pageMargins left="0.511811024" right="0.511811024" top="0.78740157499999996" bottom="0.78740157499999996" header="0.31496062000000002" footer="0.31496062000000002"/>
  <pageSetup paperSize="9" orientation="portrait" r:id="rId6"/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sheetPr codeName="Planilha4"/>
  <dimension ref="A2:W154"/>
  <sheetViews>
    <sheetView showGridLines="0" showRowColHeaders="0" tabSelected="1" zoomScale="80" zoomScaleNormal="80" workbookViewId="0">
      <selection activeCell="L21" sqref="L21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5" x14ac:dyDescent="0.35"/>
  <cols>
    <col min="1" max="1" width="26.1796875" style="19" customWidth="1"/>
    <col min="2" max="2" width="11.90625" customWidth="1"/>
    <col min="3" max="9" width="7.90625" customWidth="1"/>
    <col min="12" max="12" width="6.54296875" customWidth="1"/>
  </cols>
  <sheetData>
    <row r="2" spans="1:23" ht="25.5" customHeight="1" thickBot="1" x14ac:dyDescent="0.65">
      <c r="C2" s="21" t="s">
        <v>320</v>
      </c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 ht="19.5" customHeight="1" thickTop="1" x14ac:dyDescent="0.35">
      <c r="A3" s="5"/>
    </row>
    <row r="4" spans="1:23" s="7" customFormat="1" ht="16.5" x14ac:dyDescent="0.45">
      <c r="A4" s="25" t="str">
        <f xml:space="preserve"> "  &gt; Olá " &amp; C̳álculos!$C$45 &amp; "!"</f>
        <v xml:space="preserve">  &gt; Olá Maria Helena!</v>
      </c>
      <c r="B4" s="29" t="str">
        <f>C̳álculos!C47</f>
        <v xml:space="preserve">
Data period: 01/01/2024 to 24/12/2025 | Last updated: 14/05/2026 15:57:18</v>
      </c>
    </row>
    <row r="5" spans="1:23" s="7" customFormat="1" ht="16.5" x14ac:dyDescent="0.45">
      <c r="A5" s="24"/>
    </row>
    <row r="6" spans="1:23" s="7" customFormat="1" x14ac:dyDescent="0.35">
      <c r="A6" s="19"/>
    </row>
    <row r="7" spans="1:23" s="7" customFormat="1" x14ac:dyDescent="0.35">
      <c r="A7" s="19"/>
      <c r="O7" s="20"/>
      <c r="R7" s="20"/>
    </row>
    <row r="8" spans="1:23" s="7" customFormat="1" x14ac:dyDescent="0.35">
      <c r="A8" s="19"/>
      <c r="J8" s="20"/>
      <c r="S8" s="20"/>
    </row>
    <row r="9" spans="1:23" s="7" customFormat="1" x14ac:dyDescent="0.35">
      <c r="A9" s="19"/>
      <c r="T9" s="20"/>
    </row>
    <row r="10" spans="1:23" s="7" customFormat="1" x14ac:dyDescent="0.35">
      <c r="A10" s="19"/>
      <c r="N10" s="20"/>
    </row>
    <row r="11" spans="1:23" s="7" customFormat="1" x14ac:dyDescent="0.35">
      <c r="A11" s="19"/>
    </row>
    <row r="12" spans="1:23" s="7" customFormat="1" x14ac:dyDescent="0.35">
      <c r="A12" s="19"/>
    </row>
    <row r="13" spans="1:23" s="7" customFormat="1" x14ac:dyDescent="0.35">
      <c r="A13" s="19"/>
    </row>
    <row r="14" spans="1:23" s="7" customFormat="1" x14ac:dyDescent="0.35">
      <c r="A14" s="19"/>
      <c r="Q14" s="20"/>
    </row>
    <row r="15" spans="1:23" s="7" customFormat="1" x14ac:dyDescent="0.35">
      <c r="A15" s="19"/>
      <c r="Q15" s="20"/>
    </row>
    <row r="16" spans="1:23" s="7" customFormat="1" x14ac:dyDescent="0.35">
      <c r="A16" s="19"/>
    </row>
    <row r="17" spans="1:19" s="7" customFormat="1" x14ac:dyDescent="0.35">
      <c r="A17" s="19"/>
      <c r="R17" s="20"/>
    </row>
    <row r="18" spans="1:19" s="7" customFormat="1" x14ac:dyDescent="0.35">
      <c r="A18" s="19"/>
    </row>
    <row r="19" spans="1:19" s="7" customFormat="1" x14ac:dyDescent="0.35">
      <c r="A19" s="19"/>
    </row>
    <row r="20" spans="1:19" s="7" customFormat="1" x14ac:dyDescent="0.35">
      <c r="A20" s="19"/>
    </row>
    <row r="21" spans="1:19" s="7" customFormat="1" x14ac:dyDescent="0.35">
      <c r="A21" s="19"/>
    </row>
    <row r="22" spans="1:19" s="7" customFormat="1" x14ac:dyDescent="0.35">
      <c r="A22" s="19"/>
      <c r="Q22" s="20"/>
      <c r="S22" s="20"/>
    </row>
    <row r="23" spans="1:19" s="7" customFormat="1" x14ac:dyDescent="0.35">
      <c r="A23" s="19"/>
    </row>
    <row r="24" spans="1:19" s="7" customFormat="1" x14ac:dyDescent="0.35">
      <c r="A24" s="19"/>
    </row>
    <row r="25" spans="1:19" s="7" customFormat="1" x14ac:dyDescent="0.35">
      <c r="A25" s="19"/>
    </row>
    <row r="26" spans="1:19" s="7" customFormat="1" x14ac:dyDescent="0.35">
      <c r="A26" s="19"/>
    </row>
    <row r="27" spans="1:19" s="7" customFormat="1" x14ac:dyDescent="0.35">
      <c r="A27" s="19"/>
    </row>
    <row r="28" spans="1:19" s="7" customFormat="1" x14ac:dyDescent="0.35">
      <c r="A28" s="19"/>
    </row>
    <row r="29" spans="1:19" s="7" customFormat="1" x14ac:dyDescent="0.35">
      <c r="A29" s="19"/>
    </row>
    <row r="30" spans="1:19" s="7" customFormat="1" x14ac:dyDescent="0.35">
      <c r="A30" s="19"/>
    </row>
    <row r="31" spans="1:19" s="7" customFormat="1" x14ac:dyDescent="0.35">
      <c r="A31" s="19"/>
    </row>
    <row r="32" spans="1:19" s="7" customFormat="1" x14ac:dyDescent="0.35">
      <c r="A32" s="19"/>
    </row>
    <row r="33" spans="1:1" s="7" customFormat="1" x14ac:dyDescent="0.35">
      <c r="A33" s="19"/>
    </row>
    <row r="34" spans="1:1" s="7" customFormat="1" x14ac:dyDescent="0.35">
      <c r="A34" s="19"/>
    </row>
    <row r="35" spans="1:1" s="7" customFormat="1" x14ac:dyDescent="0.35">
      <c r="A35" s="19"/>
    </row>
    <row r="36" spans="1:1" s="7" customFormat="1" x14ac:dyDescent="0.35">
      <c r="A36" s="19"/>
    </row>
    <row r="37" spans="1:1" s="7" customFormat="1" x14ac:dyDescent="0.35">
      <c r="A37" s="19"/>
    </row>
    <row r="38" spans="1:1" s="7" customFormat="1" x14ac:dyDescent="0.35">
      <c r="A38" s="19"/>
    </row>
    <row r="39" spans="1:1" s="7" customFormat="1" x14ac:dyDescent="0.35">
      <c r="A39" s="19"/>
    </row>
    <row r="40" spans="1:1" s="7" customFormat="1" x14ac:dyDescent="0.35">
      <c r="A40" s="19"/>
    </row>
    <row r="41" spans="1:1" s="7" customFormat="1" x14ac:dyDescent="0.35">
      <c r="A41" s="19"/>
    </row>
    <row r="42" spans="1:1" s="7" customFormat="1" x14ac:dyDescent="0.35">
      <c r="A42" s="19"/>
    </row>
    <row r="43" spans="1:1" s="7" customFormat="1" x14ac:dyDescent="0.35">
      <c r="A43" s="19"/>
    </row>
    <row r="44" spans="1:1" s="7" customFormat="1" x14ac:dyDescent="0.35">
      <c r="A44" s="19"/>
    </row>
    <row r="45" spans="1:1" s="7" customFormat="1" x14ac:dyDescent="0.35">
      <c r="A45" s="19"/>
    </row>
    <row r="46" spans="1:1" s="7" customFormat="1" x14ac:dyDescent="0.35">
      <c r="A46" s="19"/>
    </row>
    <row r="47" spans="1:1" s="7" customFormat="1" x14ac:dyDescent="0.35">
      <c r="A47" s="19"/>
    </row>
    <row r="48" spans="1:1" s="7" customFormat="1" x14ac:dyDescent="0.35">
      <c r="A48" s="19"/>
    </row>
    <row r="49" spans="1:1" s="7" customFormat="1" x14ac:dyDescent="0.35">
      <c r="A49" s="19"/>
    </row>
    <row r="50" spans="1:1" s="7" customFormat="1" x14ac:dyDescent="0.35">
      <c r="A50" s="19"/>
    </row>
    <row r="51" spans="1:1" s="7" customFormat="1" x14ac:dyDescent="0.35">
      <c r="A51" s="19"/>
    </row>
    <row r="52" spans="1:1" s="7" customFormat="1" x14ac:dyDescent="0.35">
      <c r="A52" s="19"/>
    </row>
    <row r="53" spans="1:1" s="7" customFormat="1" x14ac:dyDescent="0.35">
      <c r="A53" s="19"/>
    </row>
    <row r="54" spans="1:1" s="7" customFormat="1" x14ac:dyDescent="0.35">
      <c r="A54" s="19"/>
    </row>
    <row r="55" spans="1:1" s="7" customFormat="1" x14ac:dyDescent="0.35">
      <c r="A55" s="19"/>
    </row>
    <row r="56" spans="1:1" s="7" customFormat="1" x14ac:dyDescent="0.35">
      <c r="A56" s="19"/>
    </row>
    <row r="57" spans="1:1" s="7" customFormat="1" x14ac:dyDescent="0.35">
      <c r="A57" s="19"/>
    </row>
    <row r="58" spans="1:1" s="7" customFormat="1" x14ac:dyDescent="0.35">
      <c r="A58" s="19"/>
    </row>
    <row r="59" spans="1:1" s="7" customFormat="1" x14ac:dyDescent="0.35">
      <c r="A59" s="19"/>
    </row>
    <row r="60" spans="1:1" s="7" customFormat="1" x14ac:dyDescent="0.35">
      <c r="A60" s="19"/>
    </row>
    <row r="61" spans="1:1" s="7" customFormat="1" x14ac:dyDescent="0.35">
      <c r="A61" s="19"/>
    </row>
    <row r="62" spans="1:1" s="7" customFormat="1" x14ac:dyDescent="0.35">
      <c r="A62" s="19"/>
    </row>
    <row r="63" spans="1:1" s="7" customFormat="1" x14ac:dyDescent="0.35">
      <c r="A63" s="19"/>
    </row>
    <row r="64" spans="1:1" s="7" customFormat="1" x14ac:dyDescent="0.35">
      <c r="A64" s="19"/>
    </row>
    <row r="65" spans="1:1" s="7" customFormat="1" x14ac:dyDescent="0.35">
      <c r="A65" s="19"/>
    </row>
    <row r="66" spans="1:1" s="7" customFormat="1" x14ac:dyDescent="0.35">
      <c r="A66" s="19"/>
    </row>
    <row r="67" spans="1:1" s="7" customFormat="1" x14ac:dyDescent="0.35">
      <c r="A67" s="19"/>
    </row>
    <row r="68" spans="1:1" s="7" customFormat="1" x14ac:dyDescent="0.35">
      <c r="A68" s="19"/>
    </row>
    <row r="69" spans="1:1" s="7" customFormat="1" x14ac:dyDescent="0.35">
      <c r="A69" s="19"/>
    </row>
    <row r="70" spans="1:1" s="7" customFormat="1" x14ac:dyDescent="0.35">
      <c r="A70" s="19"/>
    </row>
    <row r="71" spans="1:1" s="7" customFormat="1" x14ac:dyDescent="0.35">
      <c r="A71" s="19"/>
    </row>
    <row r="72" spans="1:1" s="7" customFormat="1" x14ac:dyDescent="0.35">
      <c r="A72" s="19"/>
    </row>
    <row r="73" spans="1:1" s="7" customFormat="1" x14ac:dyDescent="0.35">
      <c r="A73" s="19"/>
    </row>
    <row r="74" spans="1:1" s="7" customFormat="1" x14ac:dyDescent="0.35">
      <c r="A74" s="19"/>
    </row>
    <row r="75" spans="1:1" s="7" customFormat="1" x14ac:dyDescent="0.35">
      <c r="A75" s="19"/>
    </row>
    <row r="76" spans="1:1" s="7" customFormat="1" x14ac:dyDescent="0.35">
      <c r="A76" s="19"/>
    </row>
    <row r="77" spans="1:1" s="7" customFormat="1" x14ac:dyDescent="0.35">
      <c r="A77" s="19"/>
    </row>
    <row r="78" spans="1:1" s="7" customFormat="1" x14ac:dyDescent="0.35">
      <c r="A78" s="19"/>
    </row>
    <row r="79" spans="1:1" s="7" customFormat="1" x14ac:dyDescent="0.35">
      <c r="A79" s="19"/>
    </row>
    <row r="80" spans="1:1" s="7" customFormat="1" x14ac:dyDescent="0.35">
      <c r="A80" s="19"/>
    </row>
    <row r="81" spans="1:1" s="7" customFormat="1" x14ac:dyDescent="0.35">
      <c r="A81" s="19"/>
    </row>
    <row r="82" spans="1:1" s="7" customFormat="1" x14ac:dyDescent="0.35">
      <c r="A82" s="19"/>
    </row>
    <row r="83" spans="1:1" s="7" customFormat="1" x14ac:dyDescent="0.35">
      <c r="A83" s="19"/>
    </row>
    <row r="84" spans="1:1" s="7" customFormat="1" x14ac:dyDescent="0.35">
      <c r="A84" s="19"/>
    </row>
    <row r="85" spans="1:1" s="7" customFormat="1" x14ac:dyDescent="0.35">
      <c r="A85" s="19"/>
    </row>
    <row r="86" spans="1:1" s="7" customFormat="1" x14ac:dyDescent="0.35">
      <c r="A86" s="19"/>
    </row>
    <row r="87" spans="1:1" s="7" customFormat="1" x14ac:dyDescent="0.35">
      <c r="A87" s="19"/>
    </row>
    <row r="88" spans="1:1" s="7" customFormat="1" x14ac:dyDescent="0.35">
      <c r="A88" s="19"/>
    </row>
    <row r="89" spans="1:1" s="7" customFormat="1" x14ac:dyDescent="0.35">
      <c r="A89" s="19"/>
    </row>
    <row r="90" spans="1:1" s="7" customFormat="1" x14ac:dyDescent="0.35">
      <c r="A90" s="19"/>
    </row>
    <row r="91" spans="1:1" s="7" customFormat="1" x14ac:dyDescent="0.35">
      <c r="A91" s="19"/>
    </row>
    <row r="92" spans="1:1" s="7" customFormat="1" x14ac:dyDescent="0.35">
      <c r="A92" s="19"/>
    </row>
    <row r="93" spans="1:1" s="7" customFormat="1" x14ac:dyDescent="0.35">
      <c r="A93" s="19"/>
    </row>
    <row r="94" spans="1:1" s="7" customFormat="1" x14ac:dyDescent="0.35">
      <c r="A94" s="19"/>
    </row>
    <row r="95" spans="1:1" s="7" customFormat="1" x14ac:dyDescent="0.35">
      <c r="A95" s="19"/>
    </row>
    <row r="96" spans="1:1" s="7" customFormat="1" x14ac:dyDescent="0.35">
      <c r="A96" s="19"/>
    </row>
    <row r="97" spans="1:1" s="7" customFormat="1" x14ac:dyDescent="0.35">
      <c r="A97" s="19"/>
    </row>
    <row r="98" spans="1:1" s="7" customFormat="1" x14ac:dyDescent="0.35">
      <c r="A98" s="19"/>
    </row>
    <row r="99" spans="1:1" s="7" customFormat="1" x14ac:dyDescent="0.35">
      <c r="A99" s="19"/>
    </row>
    <row r="100" spans="1:1" s="7" customFormat="1" x14ac:dyDescent="0.35">
      <c r="A100" s="19"/>
    </row>
    <row r="101" spans="1:1" s="7" customFormat="1" x14ac:dyDescent="0.35">
      <c r="A101" s="19"/>
    </row>
    <row r="102" spans="1:1" s="7" customFormat="1" x14ac:dyDescent="0.35">
      <c r="A102" s="19"/>
    </row>
    <row r="103" spans="1:1" s="7" customFormat="1" x14ac:dyDescent="0.35">
      <c r="A103" s="19"/>
    </row>
    <row r="104" spans="1:1" s="7" customFormat="1" x14ac:dyDescent="0.35">
      <c r="A104" s="19"/>
    </row>
    <row r="105" spans="1:1" s="7" customFormat="1" x14ac:dyDescent="0.35">
      <c r="A105" s="19"/>
    </row>
    <row r="106" spans="1:1" s="7" customFormat="1" x14ac:dyDescent="0.35">
      <c r="A106" s="19"/>
    </row>
    <row r="107" spans="1:1" s="7" customFormat="1" x14ac:dyDescent="0.35">
      <c r="A107" s="19"/>
    </row>
    <row r="108" spans="1:1" s="7" customFormat="1" x14ac:dyDescent="0.35">
      <c r="A108" s="19"/>
    </row>
    <row r="109" spans="1:1" s="7" customFormat="1" x14ac:dyDescent="0.35">
      <c r="A109" s="19"/>
    </row>
    <row r="110" spans="1:1" s="7" customFormat="1" x14ac:dyDescent="0.35">
      <c r="A110" s="19"/>
    </row>
    <row r="111" spans="1:1" s="7" customFormat="1" x14ac:dyDescent="0.35">
      <c r="A111" s="19"/>
    </row>
    <row r="112" spans="1:1" s="7" customFormat="1" x14ac:dyDescent="0.35">
      <c r="A112" s="19"/>
    </row>
    <row r="113" spans="1:1" s="7" customFormat="1" x14ac:dyDescent="0.35">
      <c r="A113" s="19"/>
    </row>
    <row r="114" spans="1:1" s="7" customFormat="1" x14ac:dyDescent="0.35">
      <c r="A114" s="19"/>
    </row>
    <row r="115" spans="1:1" s="7" customFormat="1" x14ac:dyDescent="0.35">
      <c r="A115" s="19"/>
    </row>
    <row r="116" spans="1:1" s="7" customFormat="1" x14ac:dyDescent="0.35">
      <c r="A116" s="19"/>
    </row>
    <row r="117" spans="1:1" s="7" customFormat="1" x14ac:dyDescent="0.35">
      <c r="A117" s="19"/>
    </row>
    <row r="118" spans="1:1" s="7" customFormat="1" x14ac:dyDescent="0.35">
      <c r="A118" s="19"/>
    </row>
    <row r="119" spans="1:1" s="7" customFormat="1" x14ac:dyDescent="0.35">
      <c r="A119" s="19"/>
    </row>
    <row r="120" spans="1:1" s="7" customFormat="1" x14ac:dyDescent="0.35">
      <c r="A120" s="19"/>
    </row>
    <row r="121" spans="1:1" s="7" customFormat="1" x14ac:dyDescent="0.35">
      <c r="A121" s="19"/>
    </row>
    <row r="122" spans="1:1" s="7" customFormat="1" x14ac:dyDescent="0.35">
      <c r="A122" s="19"/>
    </row>
    <row r="123" spans="1:1" s="7" customFormat="1" x14ac:dyDescent="0.35">
      <c r="A123" s="19"/>
    </row>
    <row r="124" spans="1:1" s="7" customFormat="1" x14ac:dyDescent="0.35">
      <c r="A124" s="19"/>
    </row>
    <row r="125" spans="1:1" s="7" customFormat="1" x14ac:dyDescent="0.35">
      <c r="A125" s="19"/>
    </row>
    <row r="126" spans="1:1" s="7" customFormat="1" x14ac:dyDescent="0.35">
      <c r="A126" s="19"/>
    </row>
    <row r="127" spans="1:1" s="7" customFormat="1" x14ac:dyDescent="0.35">
      <c r="A127" s="19"/>
    </row>
    <row r="128" spans="1:1" s="7" customFormat="1" x14ac:dyDescent="0.35">
      <c r="A128" s="19"/>
    </row>
    <row r="129" spans="1:1" s="7" customFormat="1" x14ac:dyDescent="0.35">
      <c r="A129" s="19"/>
    </row>
    <row r="130" spans="1:1" s="7" customFormat="1" x14ac:dyDescent="0.35">
      <c r="A130" s="19"/>
    </row>
    <row r="131" spans="1:1" s="7" customFormat="1" x14ac:dyDescent="0.35">
      <c r="A131" s="19"/>
    </row>
    <row r="132" spans="1:1" s="7" customFormat="1" x14ac:dyDescent="0.35">
      <c r="A132" s="19"/>
    </row>
    <row r="133" spans="1:1" s="7" customFormat="1" x14ac:dyDescent="0.35">
      <c r="A133" s="19"/>
    </row>
    <row r="134" spans="1:1" s="7" customFormat="1" x14ac:dyDescent="0.35">
      <c r="A134" s="19"/>
    </row>
    <row r="135" spans="1:1" s="7" customFormat="1" x14ac:dyDescent="0.35">
      <c r="A135" s="19"/>
    </row>
    <row r="136" spans="1:1" s="7" customFormat="1" x14ac:dyDescent="0.35">
      <c r="A136" s="19"/>
    </row>
    <row r="137" spans="1:1" s="7" customFormat="1" x14ac:dyDescent="0.35">
      <c r="A137" s="19"/>
    </row>
    <row r="138" spans="1:1" s="7" customFormat="1" x14ac:dyDescent="0.35">
      <c r="A138" s="19"/>
    </row>
    <row r="139" spans="1:1" s="7" customFormat="1" x14ac:dyDescent="0.35">
      <c r="A139" s="19"/>
    </row>
    <row r="140" spans="1:1" s="7" customFormat="1" x14ac:dyDescent="0.35">
      <c r="A140" s="19"/>
    </row>
    <row r="141" spans="1:1" s="7" customFormat="1" x14ac:dyDescent="0.35">
      <c r="A141" s="19"/>
    </row>
    <row r="142" spans="1:1" s="7" customFormat="1" x14ac:dyDescent="0.35">
      <c r="A142" s="19"/>
    </row>
    <row r="143" spans="1:1" s="7" customFormat="1" x14ac:dyDescent="0.35">
      <c r="A143" s="19"/>
    </row>
    <row r="144" spans="1:1" s="7" customFormat="1" x14ac:dyDescent="0.35">
      <c r="A144" s="19"/>
    </row>
    <row r="145" spans="1:1" s="7" customFormat="1" x14ac:dyDescent="0.35">
      <c r="A145" s="19"/>
    </row>
    <row r="146" spans="1:1" s="7" customFormat="1" x14ac:dyDescent="0.35">
      <c r="A146" s="19"/>
    </row>
    <row r="147" spans="1:1" s="7" customFormat="1" x14ac:dyDescent="0.35">
      <c r="A147" s="19"/>
    </row>
    <row r="148" spans="1:1" s="7" customFormat="1" x14ac:dyDescent="0.35">
      <c r="A148" s="19"/>
    </row>
    <row r="149" spans="1:1" s="7" customFormat="1" x14ac:dyDescent="0.35">
      <c r="A149" s="19"/>
    </row>
    <row r="150" spans="1:1" s="7" customFormat="1" x14ac:dyDescent="0.35">
      <c r="A150" s="19"/>
    </row>
    <row r="151" spans="1:1" s="7" customFormat="1" x14ac:dyDescent="0.35">
      <c r="A151" s="19"/>
    </row>
    <row r="152" spans="1:1" s="7" customFormat="1" x14ac:dyDescent="0.35">
      <c r="A152" s="19"/>
    </row>
    <row r="153" spans="1:1" s="7" customFormat="1" x14ac:dyDescent="0.35">
      <c r="A153" s="19"/>
    </row>
    <row r="154" spans="1:1" s="7" customFormat="1" x14ac:dyDescent="0.35">
      <c r="A154" s="19"/>
    </row>
  </sheetData>
  <sheetProtection sheet="1" objects="1" scenarios="1" selectLockedCells="1" autoFilter="0" pivotTables="0" selectUnlockedCells="1"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4.xml><?xml version="1.0" encoding="utf-8"?>
<ds:datastoreItem xmlns:ds="http://schemas.openxmlformats.org/officeDocument/2006/customXml" ds:itemID="{C376EE8B-7D93-4C67-BD21-D5A625BACE8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Marcelo JSSantos</cp:lastModifiedBy>
  <dcterms:created xsi:type="dcterms:W3CDTF">2024-12-19T13:13:10Z</dcterms:created>
  <dcterms:modified xsi:type="dcterms:W3CDTF">2026-05-14T19:34:53Z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